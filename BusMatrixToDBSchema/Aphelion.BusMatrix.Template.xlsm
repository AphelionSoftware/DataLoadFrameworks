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ina\Dropbox (Data)\Pagatech\R01_Finance\BusMatrix\"/>
    </mc:Choice>
  </mc:AlternateContent>
  <bookViews>
    <workbookView xWindow="0" yWindow="0" windowWidth="20490" windowHeight="7755" tabRatio="866" firstSheet="1" activeTab="1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Template" sheetId="25" r:id="rId8"/>
    <sheet name="NamedRangeDefintions" sheetId="31" r:id="rId9"/>
  </sheets>
  <externalReferences>
    <externalReference r:id="rId10"/>
  </externalReferences>
  <definedNames>
    <definedName name="_xlnm._FilterDatabase" localSheetId="3" hidden="1">AllTables!$A$1:$J$1</definedName>
    <definedName name="_xlnm._FilterDatabase" localSheetId="4" hidden="1">Dimensions!$A$2:$Q$2</definedName>
    <definedName name="_xlnm._FilterDatabase" localSheetId="2" hidden="1">ExpandedTables!$A$1:$J$44</definedName>
    <definedName name="_xlnm._FilterDatabase" localSheetId="5" hidden="1">Facts!$A$2:$S$3</definedName>
    <definedName name="BusMatrixName">AllTables!$K$2:$K$24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OFFSET(Dimensions!#REF!,0,0,(COUNTA(Dimensions!$A:$A)-1),1)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D16" i="25" l="1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<sst xmlns="http://schemas.openxmlformats.org/spreadsheetml/2006/main" count="672" uniqueCount="164">
  <si>
    <t>Facts/Dimensions</t>
  </si>
  <si>
    <t>Date</t>
  </si>
  <si>
    <t>Time</t>
  </si>
  <si>
    <t>Measures</t>
  </si>
  <si>
    <t>N</t>
  </si>
  <si>
    <t>X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</si>
  <si>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</si>
  <si>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</si>
  <si>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</si>
  <si>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</si>
  <si>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</si>
  <si>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</si>
  <si>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</si>
  <si>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</si>
  <si>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</si>
  <si>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</si>
  <si>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</si>
  <si>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</si>
  <si>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</si>
  <si>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</si>
  <si>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</si>
  <si>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</si>
  <si>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</si>
  <si>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</si>
  <si>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</si>
  <si>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</si>
  <si>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</si>
  <si>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</si>
  <si>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</si>
  <si>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</si>
  <si>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</si>
  <si>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</si>
  <si>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</si>
  <si>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</si>
  <si>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</si>
  <si>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</si>
  <si>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</si>
  <si>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</si>
  <si>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</si>
  <si>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</si>
  <si>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</si>
  <si>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</si>
  <si>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</si>
  <si>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</si>
  <si>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</si>
  <si>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</si>
  <si>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</si>
  <si>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</si>
  <si>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</si>
  <si>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</si>
  <si>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</si>
  <si>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</si>
  <si>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</si>
  <si>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</si>
  <si>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</si>
  <si>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</si>
  <si>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</si>
  <si>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</si>
  <si>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</si>
  <si>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</si>
  <si>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</si>
  <si>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</si>
  <si>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</si>
  <si>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</si>
  <si>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</si>
  <si>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</si>
  <si>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</si>
  <si>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</si>
  <si>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</si>
  <si>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</si>
  <si>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</si>
  <si>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</si>
  <si>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</si>
  <si>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</si>
  <si>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</si>
  <si>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</si>
  <si>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</si>
  <si>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</si>
  <si>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</si>
  <si>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</si>
  <si>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</si>
  <si>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</si>
  <si>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</si>
  <si>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</si>
  <si>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</si>
  <si>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</si>
  <si>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</si>
  <si>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</si>
  <si>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</si>
  <si>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</si>
  <si>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</si>
  <si>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</si>
  <si>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</si>
  <si>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</si>
  <si>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</si>
  <si>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</si>
  <si>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</si>
  <si>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</si>
  <si>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</si>
  <si>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</si>
  <si>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FK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</si>
  <si>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</si>
  <si>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</si>
  <si>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</si>
  <si>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</si>
  <si>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</si>
  <si>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</si>
  <si>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</si>
  <si>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</si>
  <si>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DECIMAL</t>
  </si>
  <si>
    <t>BuildOrder</t>
  </si>
  <si>
    <t>DebitAmount</t>
  </si>
  <si>
    <t>CreditAmount</t>
  </si>
  <si>
    <t>MovementAmount</t>
  </si>
  <si>
    <t>ProcessAmount</t>
  </si>
  <si>
    <t>AgentCommissionAmount</t>
  </si>
  <si>
    <t>DimFinancialAccountID</t>
  </si>
  <si>
    <t>DimProcessID</t>
  </si>
  <si>
    <t>DimChannelID</t>
  </si>
  <si>
    <t>DimUserID</t>
  </si>
  <si>
    <t>DimAgentCommissionTypeID</t>
  </si>
  <si>
    <t>DimFinancialTransactionTypeID</t>
  </si>
  <si>
    <t>DimMobileOperatorID</t>
  </si>
  <si>
    <t>DimPagaAccountID</t>
  </si>
  <si>
    <t>FactFinancialTransactions</t>
  </si>
  <si>
    <t>FactDailyGLSnapshot</t>
  </si>
  <si>
    <t>FactMonthlyGLSnapshot</t>
  </si>
  <si>
    <t>FactAirtimeTransactions</t>
  </si>
  <si>
    <t>FactProcessTransaction</t>
  </si>
  <si>
    <t>FactUserMonthlySnapshot</t>
  </si>
  <si>
    <t>Dimension Names must start in row 3, col 2</t>
  </si>
  <si>
    <t>FactAirtimeStockMovement</t>
  </si>
  <si>
    <t>FactAirtimeStockOnHandSnapshot</t>
  </si>
  <si>
    <t>ForMeByMe_SentTxCount</t>
  </si>
  <si>
    <t>ForMeByOther_SentTxCount</t>
  </si>
  <si>
    <t>ByMeForOther_SentTxCount</t>
  </si>
  <si>
    <t>ReceivedTxCount</t>
  </si>
  <si>
    <t>DimDateID</t>
  </si>
  <si>
    <t>DimDate.DimDateID</t>
  </si>
  <si>
    <t>DimTimeID</t>
  </si>
  <si>
    <t>DimTime.DimTimeID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</si>
  <si>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</si>
  <si>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</si>
  <si>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</si>
  <si>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</si>
  <si>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DimProcess.DimProcessID</t>
  </si>
  <si>
    <t>DimOrganizationHierarchyID</t>
  </si>
  <si>
    <t>DimOrganizationHierarchy.DimOrganizationHierarchyID</t>
  </si>
  <si>
    <t>DimLocationHierarchyID</t>
  </si>
  <si>
    <t>DimLocationHierarchy.DimLocationHierarchyID</t>
  </si>
  <si>
    <t>MovementDirection(-|+)</t>
  </si>
  <si>
    <t>DimMobileOperator.DimMobileOperatorID</t>
  </si>
  <si>
    <t>DimAgentCommissionType.DimAgentCommissionTypeID</t>
  </si>
  <si>
    <t>DimInitiatingUserID</t>
  </si>
  <si>
    <t>DimInitiatingUser.DimInitiatingUserID</t>
  </si>
  <si>
    <t>DimReceivingUserID</t>
  </si>
  <si>
    <t>DimReceivingUser.DimReceivingUserID</t>
  </si>
  <si>
    <t>DimOnBehalffUserID</t>
  </si>
  <si>
    <t>DimOnBehalffUser.DimOnBehalffUserID</t>
  </si>
  <si>
    <t>DimChannel.DimChannelID</t>
  </si>
  <si>
    <t>MovementDirection</t>
  </si>
  <si>
    <t>Count</t>
  </si>
  <si>
    <t>Sales</t>
  </si>
  <si>
    <t>Database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</si>
</sst>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105">
    <xf numFmtId="0" fontId="0" fillId="0" borderId="0" xfId="0"/>
    <xf numFmtId="0" fontId="3" fillId="0" borderId="0" xfId="0" applyFont="1"/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2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textRotation="45" wrapText="1"/>
    </xf>
    <xf numFmtId="0" fontId="4" fillId="0" borderId="0" xfId="0" applyFont="1" applyAlignment="1">
      <alignment textRotation="60" wrapText="1"/>
    </xf>
    <xf numFmtId="0" fontId="4" fillId="0" borderId="0" xfId="0" applyFont="1" applyFill="1" applyBorder="1" applyAlignment="1">
      <alignment textRotation="45"/>
    </xf>
    <xf numFmtId="0" fontId="4" fillId="0" borderId="0" xfId="0" applyFont="1" applyAlignment="1">
      <alignment textRotation="45"/>
    </xf>
    <xf numFmtId="0" fontId="4" fillId="0" borderId="0" xfId="0" applyFont="1"/>
    <xf numFmtId="0" fontId="5" fillId="0" borderId="0" xfId="2" applyBorder="1" applyAlignment="1">
      <alignment vertical="top"/>
    </xf>
    <xf numFmtId="0" fontId="6" fillId="0" borderId="0" xfId="2" applyFont="1" applyBorder="1" applyAlignment="1">
      <alignment vertical="top"/>
    </xf>
    <xf numFmtId="0" fontId="6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horizontal="center" vertical="top"/>
    </xf>
    <xf numFmtId="0" fontId="5" fillId="3" borderId="1" xfId="2" applyFill="1" applyBorder="1" applyAlignment="1">
      <alignment vertical="top"/>
    </xf>
    <xf numFmtId="0" fontId="6" fillId="0" borderId="0" xfId="2" applyFont="1"/>
    <xf numFmtId="0" fontId="6" fillId="0" borderId="1" xfId="2" applyFont="1" applyBorder="1"/>
    <xf numFmtId="0" fontId="6" fillId="0" borderId="0" xfId="2" applyFont="1" applyBorder="1" applyAlignment="1">
      <alignment vertical="center"/>
    </xf>
    <xf numFmtId="0" fontId="6" fillId="0" borderId="0" xfId="2" applyFont="1" applyBorder="1"/>
    <xf numFmtId="0" fontId="5" fillId="0" borderId="0" xfId="2"/>
    <xf numFmtId="0" fontId="7" fillId="5" borderId="1" xfId="2" applyFont="1" applyFill="1" applyBorder="1" applyAlignment="1">
      <alignment vertical="center"/>
    </xf>
    <xf numFmtId="0" fontId="7" fillId="5" borderId="1" xfId="2" applyFont="1" applyFill="1" applyBorder="1" applyAlignment="1">
      <alignment horizontal="left" vertical="center"/>
    </xf>
    <xf numFmtId="0" fontId="5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vertical="center"/>
    </xf>
    <xf numFmtId="0" fontId="6" fillId="3" borderId="1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/>
    </xf>
    <xf numFmtId="0" fontId="6" fillId="0" borderId="1" xfId="2" applyFont="1" applyBorder="1" applyAlignment="1">
      <alignment vertical="top"/>
    </xf>
    <xf numFmtId="0" fontId="0" fillId="0" borderId="0" xfId="0" applyBorder="1"/>
    <xf numFmtId="0" fontId="6" fillId="0" borderId="3" xfId="2" applyFont="1" applyBorder="1"/>
    <xf numFmtId="0" fontId="10" fillId="3" borderId="1" xfId="2" applyFont="1" applyFill="1" applyBorder="1"/>
    <xf numFmtId="167" fontId="10" fillId="3" borderId="1" xfId="2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vertical="top"/>
    </xf>
    <xf numFmtId="167" fontId="10" fillId="3" borderId="1" xfId="2" applyNumberFormat="1" applyFont="1" applyFill="1" applyBorder="1" applyAlignment="1">
      <alignment vertical="top" wrapText="1"/>
    </xf>
    <xf numFmtId="2" fontId="10" fillId="3" borderId="1" xfId="2" applyNumberFormat="1" applyFont="1" applyFill="1" applyBorder="1" applyAlignment="1">
      <alignment horizontal="left"/>
    </xf>
    <xf numFmtId="166" fontId="10" fillId="3" borderId="1" xfId="2" applyNumberFormat="1" applyFont="1" applyFill="1" applyBorder="1" applyAlignment="1">
      <alignment horizontal="left"/>
    </xf>
    <xf numFmtId="0" fontId="6" fillId="0" borderId="0" xfId="2" applyFont="1" applyBorder="1" applyAlignment="1">
      <alignment horizontal="center"/>
    </xf>
    <xf numFmtId="0" fontId="6" fillId="3" borderId="4" xfId="2" applyFont="1" applyFill="1" applyBorder="1" applyAlignment="1">
      <alignment horizontal="center" vertical="center"/>
    </xf>
    <xf numFmtId="0" fontId="6" fillId="3" borderId="10" xfId="2" applyFont="1" applyFill="1" applyBorder="1" applyAlignment="1">
      <alignment vertical="top"/>
    </xf>
    <xf numFmtId="0" fontId="6" fillId="3" borderId="11" xfId="2" applyFont="1" applyFill="1" applyBorder="1" applyAlignment="1">
      <alignment horizontal="center" vertical="top"/>
    </xf>
    <xf numFmtId="0" fontId="6" fillId="3" borderId="11" xfId="2" applyFont="1" applyFill="1" applyBorder="1" applyAlignment="1">
      <alignment horizontal="center" vertical="top" wrapText="1"/>
    </xf>
    <xf numFmtId="0" fontId="6" fillId="3" borderId="12" xfId="2" applyFont="1" applyFill="1" applyBorder="1" applyAlignment="1">
      <alignment horizontal="center" vertical="top"/>
    </xf>
    <xf numFmtId="0" fontId="6" fillId="3" borderId="4" xfId="2" applyFont="1" applyFill="1" applyBorder="1" applyAlignment="1">
      <alignment horizontal="center" vertical="center" wrapText="1"/>
    </xf>
    <xf numFmtId="0" fontId="6" fillId="3" borderId="13" xfId="2" applyFont="1" applyFill="1" applyBorder="1" applyAlignment="1">
      <alignment horizontal="center" vertical="center"/>
    </xf>
    <xf numFmtId="0" fontId="6" fillId="3" borderId="2" xfId="2" applyFont="1" applyFill="1" applyBorder="1" applyAlignment="1">
      <alignment horizontal="center" vertical="center"/>
    </xf>
    <xf numFmtId="0" fontId="5" fillId="3" borderId="14" xfId="2" applyFill="1" applyBorder="1" applyAlignment="1">
      <alignment vertical="top"/>
    </xf>
    <xf numFmtId="0" fontId="6" fillId="3" borderId="20" xfId="2" applyFont="1" applyFill="1" applyBorder="1" applyAlignment="1">
      <alignment vertical="top"/>
    </xf>
    <xf numFmtId="0" fontId="6" fillId="3" borderId="21" xfId="2" applyFont="1" applyFill="1" applyBorder="1" applyAlignment="1">
      <alignment horizontal="center" vertical="top"/>
    </xf>
    <xf numFmtId="0" fontId="5" fillId="3" borderId="22" xfId="2" applyFont="1" applyFill="1" applyBorder="1" applyAlignment="1">
      <alignment horizontal="center" vertical="top" wrapText="1"/>
    </xf>
    <xf numFmtId="0" fontId="6" fillId="3" borderId="15" xfId="2" applyFont="1" applyFill="1" applyBorder="1" applyAlignment="1">
      <alignment horizontal="center" vertical="center" wrapText="1"/>
    </xf>
    <xf numFmtId="0" fontId="9" fillId="5" borderId="0" xfId="2" applyFont="1" applyFill="1" applyBorder="1" applyAlignment="1">
      <alignment horizontal="center" vertical="center"/>
    </xf>
    <xf numFmtId="0" fontId="9" fillId="4" borderId="23" xfId="2" applyFont="1" applyFill="1" applyBorder="1" applyAlignment="1">
      <alignment horizontal="center" vertical="center"/>
    </xf>
    <xf numFmtId="0" fontId="9" fillId="5" borderId="23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 wrapText="1"/>
    </xf>
    <xf numFmtId="0" fontId="6" fillId="3" borderId="25" xfId="2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vertical="center"/>
    </xf>
    <xf numFmtId="0" fontId="9" fillId="5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4" fillId="2" borderId="3" xfId="0" applyFont="1" applyFill="1" applyBorder="1" applyAlignment="1">
      <alignment textRotation="45" wrapText="1"/>
    </xf>
    <xf numFmtId="0" fontId="12" fillId="2" borderId="3" xfId="0" applyFont="1" applyFill="1" applyBorder="1" applyAlignment="1">
      <alignment textRotation="45" wrapText="1"/>
    </xf>
    <xf numFmtId="0" fontId="4" fillId="0" borderId="3" xfId="0" applyFont="1" applyBorder="1" applyAlignment="1">
      <alignment textRotation="45" wrapText="1"/>
    </xf>
    <xf numFmtId="0" fontId="4" fillId="0" borderId="1" xfId="0" applyFont="1" applyBorder="1" applyAlignment="1">
      <alignment textRotation="45" wrapText="1"/>
    </xf>
    <xf numFmtId="0" fontId="4" fillId="0" borderId="28" xfId="0" applyFont="1" applyBorder="1" applyAlignment="1">
      <alignment textRotation="45" wrapText="1"/>
    </xf>
    <xf numFmtId="0" fontId="4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23" xfId="0" applyFont="1" applyFill="1" applyBorder="1" applyAlignment="1">
      <alignment textRotation="45"/>
    </xf>
    <xf numFmtId="0" fontId="4" fillId="0" borderId="23" xfId="0" applyFont="1" applyFill="1" applyBorder="1" applyAlignment="1">
      <alignment textRotation="45"/>
    </xf>
    <xf numFmtId="0" fontId="4" fillId="2" borderId="23" xfId="0" applyFont="1" applyFill="1" applyBorder="1" applyAlignment="1">
      <alignment textRotation="45"/>
    </xf>
    <xf numFmtId="0" fontId="0" fillId="0" borderId="5" xfId="0" applyFon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6" fillId="0" borderId="0" xfId="2" applyFont="1" applyBorder="1" applyAlignment="1">
      <alignment horizontal="center" vertical="top"/>
    </xf>
    <xf numFmtId="0" fontId="0" fillId="6" borderId="0" xfId="0" applyFill="1" applyAlignment="1">
      <alignment wrapText="1"/>
    </xf>
    <xf numFmtId="0" fontId="7" fillId="3" borderId="5" xfId="2" applyFont="1" applyFill="1" applyBorder="1" applyAlignment="1">
      <alignment horizontal="center" vertical="top"/>
    </xf>
    <xf numFmtId="0" fontId="7" fillId="3" borderId="6" xfId="2" applyFont="1" applyFill="1" applyBorder="1" applyAlignment="1">
      <alignment horizontal="center" vertical="top"/>
    </xf>
    <xf numFmtId="0" fontId="7" fillId="3" borderId="16" xfId="2" applyFont="1" applyFill="1" applyBorder="1" applyAlignment="1">
      <alignment horizontal="center" vertical="top"/>
    </xf>
    <xf numFmtId="0" fontId="7" fillId="3" borderId="17" xfId="2" applyFont="1" applyFill="1" applyBorder="1" applyAlignment="1">
      <alignment horizontal="center" vertical="top"/>
    </xf>
    <xf numFmtId="0" fontId="7" fillId="3" borderId="18" xfId="2" applyFont="1" applyFill="1" applyBorder="1" applyAlignment="1">
      <alignment horizontal="center" vertical="top"/>
    </xf>
    <xf numFmtId="0" fontId="7" fillId="3" borderId="19" xfId="2" applyFont="1" applyFill="1" applyBorder="1" applyAlignment="1">
      <alignment horizontal="center" vertical="top"/>
    </xf>
    <xf numFmtId="0" fontId="5" fillId="3" borderId="20" xfId="2" applyFill="1" applyBorder="1" applyAlignment="1">
      <alignment horizontal="center" vertical="top"/>
    </xf>
    <xf numFmtId="0" fontId="5" fillId="3" borderId="21" xfId="2" applyFill="1" applyBorder="1" applyAlignment="1">
      <alignment horizontal="center" vertical="top"/>
    </xf>
    <xf numFmtId="0" fontId="5" fillId="3" borderId="6" xfId="2" applyFill="1" applyBorder="1" applyAlignment="1">
      <alignment horizontal="center" vertical="top"/>
    </xf>
    <xf numFmtId="0" fontId="5" fillId="3" borderId="7" xfId="2" applyFill="1" applyBorder="1" applyAlignment="1">
      <alignment horizontal="center" vertical="top"/>
    </xf>
    <xf numFmtId="0" fontId="7" fillId="3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xpandedTables"/>
      <sheetName val="AllTables"/>
      <sheetName val="Dimensions"/>
      <sheetName val="Facts"/>
      <sheetName val="StandardColumnTemplate"/>
      <sheetName val="bx_Finance"/>
      <sheetName val="bx_Airtime"/>
      <sheetName val="bx_Activity"/>
      <sheetName val="Risk"/>
      <sheetName val="Marketing"/>
      <sheetName val="Other"/>
      <sheetName val="NamedRangeDefin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34" bestFit="1" customWidth="1"/>
    <col min="2" max="2" width="10.7109375" style="34" bestFit="1" customWidth="1"/>
    <col min="3" max="16384" width="9.140625" style="34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tabSelected="1" workbookViewId="0">
      <selection activeCell="C4" sqref="C4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36" t="s">
        <v>92</v>
      </c>
      <c r="C2" s="41">
        <f ca="1">TODAY()</f>
        <v>41866</v>
      </c>
    </row>
    <row r="3" spans="2:3" ht="18" x14ac:dyDescent="0.25">
      <c r="B3" s="36" t="s">
        <v>93</v>
      </c>
      <c r="C3" s="37" t="s">
        <v>163</v>
      </c>
    </row>
    <row r="4" spans="2:3" ht="18" x14ac:dyDescent="0.25">
      <c r="B4" s="38" t="s">
        <v>94</v>
      </c>
      <c r="C4" s="39"/>
    </row>
    <row r="5" spans="2:3" ht="18" x14ac:dyDescent="0.25">
      <c r="B5" s="36" t="s">
        <v>95</v>
      </c>
      <c r="C5" s="40">
        <v>1</v>
      </c>
    </row>
    <row r="6" spans="2:3" ht="18" x14ac:dyDescent="0.25">
      <c r="B6" s="36" t="s">
        <v>96</v>
      </c>
      <c r="C6" s="40" t="s">
        <v>44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26" bestFit="1" customWidth="1"/>
    <col min="2" max="2" width="24" style="26" bestFit="1" customWidth="1"/>
    <col min="3" max="3" width="15.85546875" style="26" bestFit="1" customWidth="1"/>
    <col min="4" max="4" width="20" style="26" bestFit="1" customWidth="1"/>
    <col min="5" max="5" width="19.28515625" style="26" bestFit="1" customWidth="1"/>
    <col min="6" max="6" width="12" style="26" bestFit="1" customWidth="1"/>
    <col min="7" max="7" width="17.140625" style="26" bestFit="1" customWidth="1"/>
    <col min="8" max="8" width="7.28515625" style="26" bestFit="1" customWidth="1"/>
    <col min="9" max="9" width="18.85546875" style="26" bestFit="1" customWidth="1"/>
    <col min="10" max="10" width="8.42578125" style="26" bestFit="1" customWidth="1"/>
    <col min="11" max="16384" width="9.140625" style="26"/>
  </cols>
  <sheetData>
    <row r="1" spans="1:10" x14ac:dyDescent="0.2">
      <c r="A1" s="27" t="s">
        <v>33</v>
      </c>
      <c r="B1" s="27" t="s">
        <v>34</v>
      </c>
      <c r="C1" s="28" t="s">
        <v>19</v>
      </c>
      <c r="D1" s="28" t="s">
        <v>35</v>
      </c>
      <c r="E1" s="27" t="s">
        <v>36</v>
      </c>
      <c r="F1" s="27" t="s">
        <v>37</v>
      </c>
      <c r="G1" s="27" t="s">
        <v>38</v>
      </c>
      <c r="H1" s="27" t="s">
        <v>27</v>
      </c>
      <c r="I1" s="27" t="s">
        <v>39</v>
      </c>
      <c r="J1" s="27" t="s">
        <v>76</v>
      </c>
    </row>
    <row r="2" spans="1:10" s="22" customFormat="1" ht="11.25" x14ac:dyDescent="0.2">
      <c r="A2" s="35" t="s">
        <v>40</v>
      </c>
      <c r="B2" s="35" t="s">
        <v>45</v>
      </c>
      <c r="C2" s="35"/>
      <c r="D2" s="35"/>
      <c r="E2" s="35"/>
      <c r="F2" s="35"/>
      <c r="G2" s="35"/>
      <c r="H2" s="35"/>
      <c r="I2" s="35" t="s">
        <v>4</v>
      </c>
      <c r="J2" s="23">
        <f t="array" aca="1" ref="J2" ca="1">SUM(IF((A2=TableType)*(B2=TableName),1,0))</f>
        <v>0</v>
      </c>
    </row>
    <row r="3" spans="1:10" s="22" customFormat="1" ht="11.25" x14ac:dyDescent="0.2">
      <c r="A3" s="23" t="s">
        <v>40</v>
      </c>
      <c r="B3" s="23" t="s">
        <v>46</v>
      </c>
      <c r="C3" s="23"/>
      <c r="D3" s="23"/>
      <c r="E3" s="23"/>
      <c r="F3" s="23"/>
      <c r="G3" s="23"/>
      <c r="H3" s="23"/>
      <c r="I3" s="23" t="s">
        <v>4</v>
      </c>
      <c r="J3" s="23">
        <f t="array" aca="1" ref="J3" ca="1">SUM(IF((A3=TableType)*(B3=TableName),1,0))</f>
        <v>0</v>
      </c>
    </row>
    <row r="4" spans="1:10" s="22" customFormat="1" ht="11.25" x14ac:dyDescent="0.2">
      <c r="A4" s="23" t="s">
        <v>40</v>
      </c>
      <c r="B4" s="23" t="s">
        <v>47</v>
      </c>
      <c r="C4" s="23"/>
      <c r="D4" s="23"/>
      <c r="E4" s="23"/>
      <c r="F4" s="23"/>
      <c r="G4" s="23"/>
      <c r="H4" s="23"/>
      <c r="I4" s="23" t="s">
        <v>4</v>
      </c>
      <c r="J4" s="23">
        <f t="array" aca="1" ref="J4" ca="1">SUM(IF((A4=TableType)*(B4=TableName),1,0))</f>
        <v>0</v>
      </c>
    </row>
    <row r="5" spans="1:10" s="22" customFormat="1" ht="11.25" x14ac:dyDescent="0.2">
      <c r="A5" s="23" t="s">
        <v>40</v>
      </c>
      <c r="B5" s="23" t="s">
        <v>48</v>
      </c>
      <c r="C5" s="23"/>
      <c r="D5" s="23"/>
      <c r="E5" s="23"/>
      <c r="F5" s="23"/>
      <c r="G5" s="23"/>
      <c r="H5" s="23"/>
      <c r="I5" s="23" t="s">
        <v>4</v>
      </c>
      <c r="J5" s="23">
        <f t="array" aca="1" ref="J5" ca="1">SUM(IF((A5=TableType)*(B5=TableName),1,0))</f>
        <v>0</v>
      </c>
    </row>
    <row r="6" spans="1:10" s="22" customFormat="1" ht="11.25" x14ac:dyDescent="0.2">
      <c r="A6" s="23" t="s">
        <v>40</v>
      </c>
      <c r="B6" s="23" t="s">
        <v>49</v>
      </c>
      <c r="C6" s="23"/>
      <c r="D6" s="23"/>
      <c r="E6" s="23"/>
      <c r="F6" s="23"/>
      <c r="G6" s="23"/>
      <c r="H6" s="23"/>
      <c r="I6" s="23" t="s">
        <v>4</v>
      </c>
      <c r="J6" s="23">
        <f t="array" aca="1" ref="J6" ca="1">SUM(IF((A6=TableType)*(B6=TableName),1,0))</f>
        <v>0</v>
      </c>
    </row>
    <row r="7" spans="1:10" s="22" customFormat="1" ht="11.25" x14ac:dyDescent="0.2">
      <c r="A7" s="23" t="s">
        <v>40</v>
      </c>
      <c r="B7" s="23" t="s">
        <v>50</v>
      </c>
      <c r="C7" s="23"/>
      <c r="D7" s="23"/>
      <c r="E7" s="23"/>
      <c r="F7" s="23"/>
      <c r="G7" s="23"/>
      <c r="H7" s="23"/>
      <c r="I7" s="23" t="s">
        <v>4</v>
      </c>
      <c r="J7" s="23">
        <f t="array" aca="1" ref="J7" ca="1">SUM(IF((A7=TableType)*(B7=TableName),1,0))</f>
        <v>0</v>
      </c>
    </row>
    <row r="8" spans="1:10" s="22" customFormat="1" ht="11.25" x14ac:dyDescent="0.2">
      <c r="A8" s="23" t="s">
        <v>40</v>
      </c>
      <c r="B8" s="23" t="s">
        <v>51</v>
      </c>
      <c r="C8" s="23"/>
      <c r="D8" s="23"/>
      <c r="E8" s="23"/>
      <c r="F8" s="23"/>
      <c r="G8" s="23"/>
      <c r="H8" s="23"/>
      <c r="I8" s="23" t="s">
        <v>4</v>
      </c>
      <c r="J8" s="23">
        <f t="array" aca="1" ref="J8" ca="1">SUM(IF((A8=TableType)*(B8=TableName),1,0))</f>
        <v>0</v>
      </c>
    </row>
    <row r="9" spans="1:10" s="22" customFormat="1" ht="11.25" x14ac:dyDescent="0.2">
      <c r="A9" s="23" t="s">
        <v>40</v>
      </c>
      <c r="B9" s="23" t="s">
        <v>52</v>
      </c>
      <c r="C9" s="23"/>
      <c r="D9" s="23"/>
      <c r="E9" s="23"/>
      <c r="F9" s="23"/>
      <c r="G9" s="23"/>
      <c r="H9" s="23"/>
      <c r="I9" s="23" t="s">
        <v>4</v>
      </c>
      <c r="J9" s="23">
        <f t="array" aca="1" ref="J9" ca="1">SUM(IF((A9=TableType)*(B9=TableName),1,0))</f>
        <v>0</v>
      </c>
    </row>
    <row r="10" spans="1:10" s="22" customFormat="1" ht="11.25" x14ac:dyDescent="0.2">
      <c r="A10" s="23" t="s">
        <v>40</v>
      </c>
      <c r="B10" s="23" t="s">
        <v>53</v>
      </c>
      <c r="C10" s="23"/>
      <c r="D10" s="23"/>
      <c r="E10" s="23"/>
      <c r="F10" s="23"/>
      <c r="G10" s="23"/>
      <c r="H10" s="23"/>
      <c r="I10" s="23" t="s">
        <v>4</v>
      </c>
      <c r="J10" s="23">
        <f t="array" aca="1" ref="J10" ca="1">SUM(IF((A10=TableType)*(B10=TableName),1,0))</f>
        <v>0</v>
      </c>
    </row>
    <row r="11" spans="1:10" s="22" customFormat="1" ht="11.25" x14ac:dyDescent="0.2">
      <c r="A11" s="23" t="s">
        <v>40</v>
      </c>
      <c r="B11" s="23" t="s">
        <v>54</v>
      </c>
      <c r="C11" s="23"/>
      <c r="D11" s="23"/>
      <c r="E11" s="23"/>
      <c r="F11" s="23"/>
      <c r="G11" s="23"/>
      <c r="H11" s="23"/>
      <c r="I11" s="23" t="s">
        <v>4</v>
      </c>
      <c r="J11" s="23">
        <f t="array" aca="1" ref="J11" ca="1">SUM(IF((A11=TableType)*(B11=TableName),1,0))</f>
        <v>0</v>
      </c>
    </row>
    <row r="12" spans="1:10" s="22" customFormat="1" ht="11.25" x14ac:dyDescent="0.2">
      <c r="A12" s="23" t="s">
        <v>40</v>
      </c>
      <c r="B12" s="23" t="s">
        <v>55</v>
      </c>
      <c r="C12" s="23"/>
      <c r="D12" s="23"/>
      <c r="E12" s="23"/>
      <c r="F12" s="23"/>
      <c r="G12" s="23"/>
      <c r="H12" s="23"/>
      <c r="I12" s="23" t="s">
        <v>4</v>
      </c>
      <c r="J12" s="23">
        <f t="array" aca="1" ref="J12" ca="1">SUM(IF((A12=TableType)*(B12=TableName),1,0))</f>
        <v>0</v>
      </c>
    </row>
    <row r="13" spans="1:10" s="22" customFormat="1" ht="11.25" x14ac:dyDescent="0.2">
      <c r="A13" s="23" t="s">
        <v>40</v>
      </c>
      <c r="B13" s="23" t="s">
        <v>16</v>
      </c>
      <c r="C13" s="23"/>
      <c r="D13" s="23"/>
      <c r="E13" s="23"/>
      <c r="F13" s="23"/>
      <c r="G13" s="23"/>
      <c r="H13" s="23"/>
      <c r="I13" s="23" t="s">
        <v>4</v>
      </c>
      <c r="J13" s="23">
        <f t="array" aca="1" ref="J13" ca="1">SUM(IF((A13=TableType)*(B13=TableName),1,0))</f>
        <v>0</v>
      </c>
    </row>
    <row r="14" spans="1:10" s="22" customFormat="1" ht="11.25" x14ac:dyDescent="0.2">
      <c r="A14" s="23" t="s">
        <v>40</v>
      </c>
      <c r="B14" s="23" t="s">
        <v>56</v>
      </c>
      <c r="C14" s="23"/>
      <c r="D14" s="23"/>
      <c r="E14" s="23"/>
      <c r="F14" s="23"/>
      <c r="G14" s="23"/>
      <c r="H14" s="23"/>
      <c r="I14" s="23" t="s">
        <v>4</v>
      </c>
      <c r="J14" s="23">
        <f t="array" aca="1" ref="J14" ca="1">SUM(IF((A14=TableType)*(B14=TableName),1,0))</f>
        <v>0</v>
      </c>
    </row>
    <row r="15" spans="1:10" s="22" customFormat="1" ht="11.25" x14ac:dyDescent="0.2">
      <c r="A15" s="23" t="s">
        <v>40</v>
      </c>
      <c r="B15" s="23" t="s">
        <v>6</v>
      </c>
      <c r="C15" s="23"/>
      <c r="D15" s="23"/>
      <c r="E15" s="23"/>
      <c r="F15" s="23"/>
      <c r="G15" s="23"/>
      <c r="H15" s="23"/>
      <c r="I15" s="23" t="s">
        <v>4</v>
      </c>
      <c r="J15" s="23">
        <f t="array" aca="1" ref="J15" ca="1">SUM(IF((A15=TableType)*(B15=TableName),1,0))</f>
        <v>0</v>
      </c>
    </row>
    <row r="16" spans="1:10" s="22" customFormat="1" ht="11.25" x14ac:dyDescent="0.2">
      <c r="A16" s="23" t="s">
        <v>40</v>
      </c>
      <c r="B16" s="23" t="s">
        <v>57</v>
      </c>
      <c r="C16" s="23"/>
      <c r="D16" s="23"/>
      <c r="E16" s="23"/>
      <c r="F16" s="23"/>
      <c r="G16" s="23"/>
      <c r="H16" s="23"/>
      <c r="I16" s="23" t="s">
        <v>4</v>
      </c>
      <c r="J16" s="23">
        <f t="array" aca="1" ref="J16" ca="1">SUM(IF((A16=TableType)*(B16=TableName),1,0))</f>
        <v>0</v>
      </c>
    </row>
    <row r="17" spans="1:10" s="22" customFormat="1" ht="11.25" x14ac:dyDescent="0.2">
      <c r="A17" s="23" t="s">
        <v>40</v>
      </c>
      <c r="B17" s="23" t="s">
        <v>58</v>
      </c>
      <c r="C17" s="23"/>
      <c r="D17" s="23"/>
      <c r="E17" s="23"/>
      <c r="F17" s="23"/>
      <c r="G17" s="23"/>
      <c r="H17" s="23"/>
      <c r="I17" s="23" t="s">
        <v>4</v>
      </c>
      <c r="J17" s="23">
        <f t="array" aca="1" ref="J17" ca="1">SUM(IF((A17=TableType)*(B17=TableName),1,0))</f>
        <v>0</v>
      </c>
    </row>
    <row r="18" spans="1:10" s="22" customFormat="1" ht="11.25" x14ac:dyDescent="0.2">
      <c r="A18" s="23" t="s">
        <v>40</v>
      </c>
      <c r="B18" s="23" t="s">
        <v>59</v>
      </c>
      <c r="C18" s="23"/>
      <c r="D18" s="23"/>
      <c r="E18" s="23"/>
      <c r="F18" s="23"/>
      <c r="G18" s="23"/>
      <c r="H18" s="23"/>
      <c r="I18" s="23" t="s">
        <v>4</v>
      </c>
      <c r="J18" s="23">
        <f t="array" aca="1" ref="J18" ca="1">SUM(IF((A18=TableType)*(B18=TableName),1,0))</f>
        <v>0</v>
      </c>
    </row>
    <row r="19" spans="1:10" s="22" customFormat="1" ht="11.25" x14ac:dyDescent="0.2">
      <c r="A19" s="23" t="s">
        <v>40</v>
      </c>
      <c r="B19" s="23" t="s">
        <v>7</v>
      </c>
      <c r="C19" s="23"/>
      <c r="D19" s="23"/>
      <c r="E19" s="23"/>
      <c r="F19" s="23"/>
      <c r="G19" s="23"/>
      <c r="H19" s="23"/>
      <c r="I19" s="23" t="s">
        <v>4</v>
      </c>
      <c r="J19" s="23">
        <f t="array" aca="1" ref="J19" ca="1">SUM(IF((A19=TableType)*(B19=TableName),1,0))</f>
        <v>0</v>
      </c>
    </row>
    <row r="20" spans="1:10" s="22" customFormat="1" ht="11.25" x14ac:dyDescent="0.2">
      <c r="A20" s="23" t="s">
        <v>40</v>
      </c>
      <c r="B20" s="23" t="s">
        <v>8</v>
      </c>
      <c r="C20" s="23"/>
      <c r="D20" s="23"/>
      <c r="E20" s="23"/>
      <c r="F20" s="23"/>
      <c r="G20" s="23"/>
      <c r="H20" s="23"/>
      <c r="I20" s="23" t="s">
        <v>4</v>
      </c>
      <c r="J20" s="23">
        <f t="array" aca="1" ref="J20" ca="1">SUM(IF((A20=TableType)*(B20=TableName),1,0))</f>
        <v>0</v>
      </c>
    </row>
    <row r="21" spans="1:10" s="22" customFormat="1" ht="11.25" x14ac:dyDescent="0.2">
      <c r="A21" s="23" t="s">
        <v>40</v>
      </c>
      <c r="B21" s="23" t="s">
        <v>60</v>
      </c>
      <c r="C21" s="23"/>
      <c r="D21" s="23"/>
      <c r="E21" s="23"/>
      <c r="F21" s="23"/>
      <c r="G21" s="23"/>
      <c r="H21" s="23"/>
      <c r="I21" s="23" t="s">
        <v>4</v>
      </c>
      <c r="J21" s="23">
        <f t="array" aca="1" ref="J21" ca="1">SUM(IF((A21=TableType)*(B21=TableName),1,0))</f>
        <v>0</v>
      </c>
    </row>
    <row r="22" spans="1:10" s="22" customFormat="1" ht="11.25" x14ac:dyDescent="0.2">
      <c r="A22" s="23" t="s">
        <v>40</v>
      </c>
      <c r="B22" s="23" t="s">
        <v>61</v>
      </c>
      <c r="C22" s="23"/>
      <c r="D22" s="23"/>
      <c r="E22" s="23"/>
      <c r="F22" s="23"/>
      <c r="G22" s="23"/>
      <c r="H22" s="23"/>
      <c r="I22" s="23" t="s">
        <v>4</v>
      </c>
      <c r="J22" s="23">
        <f t="array" aca="1" ref="J22" ca="1">SUM(IF((A22=TableType)*(B22=TableName),1,0))</f>
        <v>0</v>
      </c>
    </row>
    <row r="23" spans="1:10" s="22" customFormat="1" ht="11.25" x14ac:dyDescent="0.2">
      <c r="A23" s="23" t="s">
        <v>40</v>
      </c>
      <c r="B23" s="23" t="s">
        <v>62</v>
      </c>
      <c r="C23" s="23"/>
      <c r="D23" s="23"/>
      <c r="E23" s="23"/>
      <c r="F23" s="23"/>
      <c r="G23" s="23"/>
      <c r="H23" s="23"/>
      <c r="I23" s="23" t="s">
        <v>4</v>
      </c>
      <c r="J23" s="23">
        <f t="array" aca="1" ref="J23" ca="1">SUM(IF((A23=TableType)*(B23=TableName),1,0))</f>
        <v>0</v>
      </c>
    </row>
    <row r="24" spans="1:10" s="22" customFormat="1" ht="11.25" x14ac:dyDescent="0.2">
      <c r="A24" s="23" t="s">
        <v>40</v>
      </c>
      <c r="B24" s="23" t="s">
        <v>63</v>
      </c>
      <c r="C24" s="23"/>
      <c r="D24" s="23"/>
      <c r="E24" s="23"/>
      <c r="F24" s="23"/>
      <c r="G24" s="23"/>
      <c r="H24" s="23"/>
      <c r="I24" s="23" t="s">
        <v>4</v>
      </c>
      <c r="J24" s="23">
        <f t="array" aca="1" ref="J24" ca="1">SUM(IF((A24=TableType)*(B24=TableName),1,0))</f>
        <v>0</v>
      </c>
    </row>
    <row r="25" spans="1:10" s="22" customFormat="1" ht="11.25" x14ac:dyDescent="0.2">
      <c r="A25" s="23" t="s">
        <v>40</v>
      </c>
      <c r="B25" s="23" t="s">
        <v>64</v>
      </c>
      <c r="C25" s="23"/>
      <c r="D25" s="23"/>
      <c r="E25" s="23"/>
      <c r="F25" s="23"/>
      <c r="G25" s="23"/>
      <c r="H25" s="23"/>
      <c r="I25" s="23" t="s">
        <v>4</v>
      </c>
      <c r="J25" s="23">
        <f t="array" aca="1" ref="J25" ca="1">SUM(IF((A25=TableType)*(B25=TableName),1,0))</f>
        <v>0</v>
      </c>
    </row>
    <row r="26" spans="1:10" s="22" customFormat="1" ht="11.25" x14ac:dyDescent="0.2">
      <c r="A26" s="23" t="s">
        <v>40</v>
      </c>
      <c r="B26" s="23" t="s">
        <v>65</v>
      </c>
      <c r="C26" s="23"/>
      <c r="D26" s="23"/>
      <c r="E26" s="23"/>
      <c r="F26" s="23"/>
      <c r="G26" s="23"/>
      <c r="H26" s="23"/>
      <c r="I26" s="23" t="s">
        <v>4</v>
      </c>
      <c r="J26" s="23">
        <f t="array" aca="1" ref="J26" ca="1">SUM(IF((A26=TableType)*(B26=TableName),1,0))</f>
        <v>0</v>
      </c>
    </row>
    <row r="27" spans="1:10" s="22" customFormat="1" ht="11.25" x14ac:dyDescent="0.2">
      <c r="A27" s="23" t="s">
        <v>40</v>
      </c>
      <c r="B27" s="23" t="s">
        <v>9</v>
      </c>
      <c r="C27" s="23"/>
      <c r="D27" s="23"/>
      <c r="E27" s="23"/>
      <c r="F27" s="23"/>
      <c r="G27" s="23"/>
      <c r="H27" s="23"/>
      <c r="I27" s="23" t="s">
        <v>4</v>
      </c>
      <c r="J27" s="23">
        <f t="array" aca="1" ref="J27" ca="1">SUM(IF((A27=TableType)*(B27=TableName),1,0))</f>
        <v>0</v>
      </c>
    </row>
    <row r="28" spans="1:10" s="22" customFormat="1" ht="11.25" x14ac:dyDescent="0.2">
      <c r="A28" s="23" t="s">
        <v>40</v>
      </c>
      <c r="B28" s="23" t="s">
        <v>66</v>
      </c>
      <c r="C28" s="23"/>
      <c r="D28" s="23"/>
      <c r="E28" s="23"/>
      <c r="F28" s="23"/>
      <c r="G28" s="23"/>
      <c r="H28" s="23"/>
      <c r="I28" s="23" t="s">
        <v>4</v>
      </c>
      <c r="J28" s="23">
        <f t="array" aca="1" ref="J28" ca="1">SUM(IF((A28=TableType)*(B28=TableName),1,0))</f>
        <v>0</v>
      </c>
    </row>
    <row r="29" spans="1:10" s="22" customFormat="1" ht="11.25" x14ac:dyDescent="0.2">
      <c r="A29" s="23" t="s">
        <v>40</v>
      </c>
      <c r="B29" s="23" t="s">
        <v>67</v>
      </c>
      <c r="C29" s="23"/>
      <c r="D29" s="23"/>
      <c r="E29" s="23"/>
      <c r="F29" s="23"/>
      <c r="G29" s="23"/>
      <c r="H29" s="23"/>
      <c r="I29" s="23" t="s">
        <v>4</v>
      </c>
      <c r="J29" s="23">
        <f t="array" aca="1" ref="J29" ca="1">SUM(IF((A29=TableType)*(B29=TableName),1,0))</f>
        <v>0</v>
      </c>
    </row>
    <row r="30" spans="1:10" s="22" customFormat="1" ht="11.25" x14ac:dyDescent="0.2">
      <c r="A30" s="23" t="s">
        <v>40</v>
      </c>
      <c r="B30" s="23" t="s">
        <v>10</v>
      </c>
      <c r="C30" s="23"/>
      <c r="D30" s="23"/>
      <c r="E30" s="23"/>
      <c r="F30" s="23"/>
      <c r="G30" s="23"/>
      <c r="H30" s="23"/>
      <c r="I30" s="23" t="s">
        <v>4</v>
      </c>
      <c r="J30" s="23">
        <f t="array" aca="1" ref="J30" ca="1">SUM(IF((A30=TableType)*(B30=TableName),1,0))</f>
        <v>0</v>
      </c>
    </row>
    <row r="31" spans="1:10" s="22" customFormat="1" ht="11.25" x14ac:dyDescent="0.2">
      <c r="A31" s="23" t="s">
        <v>40</v>
      </c>
      <c r="B31" s="23" t="s">
        <v>68</v>
      </c>
      <c r="C31" s="23"/>
      <c r="D31" s="23"/>
      <c r="E31" s="23"/>
      <c r="F31" s="23"/>
      <c r="G31" s="23"/>
      <c r="H31" s="23"/>
      <c r="I31" s="23" t="s">
        <v>4</v>
      </c>
      <c r="J31" s="23">
        <f t="array" aca="1" ref="J31" ca="1">SUM(IF((A31=TableType)*(B31=TableName),1,0))</f>
        <v>0</v>
      </c>
    </row>
    <row r="32" spans="1:10" s="22" customFormat="1" ht="11.25" x14ac:dyDescent="0.2">
      <c r="A32" s="23" t="s">
        <v>40</v>
      </c>
      <c r="B32" s="23" t="s">
        <v>69</v>
      </c>
      <c r="C32" s="23"/>
      <c r="D32" s="23"/>
      <c r="E32" s="23"/>
      <c r="F32" s="23"/>
      <c r="G32" s="23"/>
      <c r="H32" s="23"/>
      <c r="I32" s="23" t="s">
        <v>4</v>
      </c>
      <c r="J32" s="23">
        <f t="array" aca="1" ref="J32" ca="1">SUM(IF((A32=TableType)*(B32=TableName),1,0))</f>
        <v>0</v>
      </c>
    </row>
    <row r="33" spans="1:10" s="22" customFormat="1" ht="11.25" x14ac:dyDescent="0.2">
      <c r="A33" s="23" t="s">
        <v>40</v>
      </c>
      <c r="B33" s="23" t="s">
        <v>70</v>
      </c>
      <c r="C33" s="23"/>
      <c r="D33" s="23"/>
      <c r="E33" s="23"/>
      <c r="F33" s="23"/>
      <c r="G33" s="23"/>
      <c r="H33" s="23"/>
      <c r="I33" s="23" t="s">
        <v>4</v>
      </c>
      <c r="J33" s="23">
        <f t="array" aca="1" ref="J33" ca="1">SUM(IF((A33=TableType)*(B33=TableName),1,0))</f>
        <v>0</v>
      </c>
    </row>
    <row r="34" spans="1:10" s="22" customFormat="1" ht="11.25" x14ac:dyDescent="0.2">
      <c r="A34" s="23" t="s">
        <v>40</v>
      </c>
      <c r="B34" s="23" t="s">
        <v>71</v>
      </c>
      <c r="C34" s="23"/>
      <c r="D34" s="23"/>
      <c r="E34" s="23"/>
      <c r="F34" s="23"/>
      <c r="G34" s="23"/>
      <c r="H34" s="23"/>
      <c r="I34" s="23" t="s">
        <v>4</v>
      </c>
      <c r="J34" s="23">
        <f t="array" aca="1" ref="J34" ca="1">SUM(IF((A34=TableType)*(B34=TableName),1,0))</f>
        <v>0</v>
      </c>
    </row>
    <row r="35" spans="1:10" s="22" customFormat="1" ht="11.25" x14ac:dyDescent="0.2">
      <c r="A35" s="23" t="s">
        <v>40</v>
      </c>
      <c r="B35" s="23" t="s">
        <v>72</v>
      </c>
      <c r="C35" s="23"/>
      <c r="D35" s="23"/>
      <c r="E35" s="23"/>
      <c r="F35" s="23"/>
      <c r="G35" s="23"/>
      <c r="H35" s="23"/>
      <c r="I35" s="23" t="s">
        <v>4</v>
      </c>
      <c r="J35" s="23">
        <f t="array" aca="1" ref="J35" ca="1">SUM(IF((A35=TableType)*(B35=TableName),1,0))</f>
        <v>0</v>
      </c>
    </row>
    <row r="36" spans="1:10" s="22" customFormat="1" ht="11.25" x14ac:dyDescent="0.2">
      <c r="A36" s="23" t="s">
        <v>40</v>
      </c>
      <c r="B36" s="23" t="s">
        <v>11</v>
      </c>
      <c r="C36" s="23"/>
      <c r="D36" s="23"/>
      <c r="E36" s="23"/>
      <c r="F36" s="23"/>
      <c r="G36" s="23"/>
      <c r="H36" s="23"/>
      <c r="I36" s="23" t="s">
        <v>4</v>
      </c>
      <c r="J36" s="23">
        <f t="array" aca="1" ref="J36" ca="1">SUM(IF((A36=TableType)*(B36=TableName),1,0))</f>
        <v>0</v>
      </c>
    </row>
    <row r="37" spans="1:10" s="22" customFormat="1" ht="11.25" x14ac:dyDescent="0.2">
      <c r="A37" s="23" t="s">
        <v>40</v>
      </c>
      <c r="B37" s="23" t="s">
        <v>12</v>
      </c>
      <c r="C37" s="23"/>
      <c r="D37" s="23"/>
      <c r="E37" s="23"/>
      <c r="F37" s="23"/>
      <c r="G37" s="23"/>
      <c r="H37" s="23"/>
      <c r="I37" s="23" t="s">
        <v>4</v>
      </c>
      <c r="J37" s="23">
        <f t="array" aca="1" ref="J37" ca="1">SUM(IF((A37=TableType)*(B37=TableName),1,0))</f>
        <v>0</v>
      </c>
    </row>
    <row r="38" spans="1:10" s="22" customFormat="1" ht="11.25" x14ac:dyDescent="0.2">
      <c r="A38" s="23" t="s">
        <v>40</v>
      </c>
      <c r="B38" s="23" t="s">
        <v>13</v>
      </c>
      <c r="C38" s="23"/>
      <c r="D38" s="23"/>
      <c r="E38" s="23"/>
      <c r="F38" s="23"/>
      <c r="G38" s="23"/>
      <c r="H38" s="23"/>
      <c r="I38" s="23" t="s">
        <v>4</v>
      </c>
      <c r="J38" s="23">
        <f t="array" aca="1" ref="J38" ca="1">SUM(IF((A38=TableType)*(B38=TableName),1,0))</f>
        <v>0</v>
      </c>
    </row>
    <row r="39" spans="1:10" s="22" customFormat="1" ht="11.25" x14ac:dyDescent="0.2">
      <c r="A39" s="23" t="s">
        <v>40</v>
      </c>
      <c r="B39" s="23" t="s">
        <v>73</v>
      </c>
      <c r="C39" s="23"/>
      <c r="D39" s="23"/>
      <c r="E39" s="23"/>
      <c r="F39" s="23"/>
      <c r="G39" s="23"/>
      <c r="H39" s="23"/>
      <c r="I39" s="23" t="s">
        <v>4</v>
      </c>
      <c r="J39" s="23">
        <f t="array" aca="1" ref="J39" ca="1">SUM(IF((A39=TableType)*(B39=TableName),1,0))</f>
        <v>0</v>
      </c>
    </row>
    <row r="40" spans="1:10" s="22" customFormat="1" ht="11.25" x14ac:dyDescent="0.2">
      <c r="A40" s="23" t="s">
        <v>40</v>
      </c>
      <c r="B40" s="23" t="s">
        <v>74</v>
      </c>
      <c r="C40" s="23"/>
      <c r="D40" s="23"/>
      <c r="E40" s="23"/>
      <c r="F40" s="23"/>
      <c r="G40" s="23"/>
      <c r="H40" s="23"/>
      <c r="I40" s="23" t="s">
        <v>4</v>
      </c>
      <c r="J40" s="23">
        <f t="array" aca="1" ref="J40" ca="1">SUM(IF((A40=TableType)*(B40=TableName),1,0))</f>
        <v>0</v>
      </c>
    </row>
    <row r="41" spans="1:10" s="22" customFormat="1" ht="11.25" x14ac:dyDescent="0.2">
      <c r="A41" s="23" t="s">
        <v>40</v>
      </c>
      <c r="B41" s="23" t="s">
        <v>14</v>
      </c>
      <c r="C41" s="23"/>
      <c r="D41" s="23"/>
      <c r="E41" s="23"/>
      <c r="F41" s="23"/>
      <c r="G41" s="23"/>
      <c r="H41" s="23"/>
      <c r="I41" s="23" t="s">
        <v>4</v>
      </c>
      <c r="J41" s="23">
        <f t="array" aca="1" ref="J41" ca="1">SUM(IF((A41=TableType)*(B41=TableName),1,0))</f>
        <v>0</v>
      </c>
    </row>
    <row r="42" spans="1:10" s="22" customFormat="1" ht="11.25" x14ac:dyDescent="0.2">
      <c r="A42" s="23" t="s">
        <v>40</v>
      </c>
      <c r="B42" s="23" t="s">
        <v>15</v>
      </c>
      <c r="C42" s="23"/>
      <c r="D42" s="23"/>
      <c r="E42" s="23"/>
      <c r="F42" s="23"/>
      <c r="G42" s="23"/>
      <c r="H42" s="23"/>
      <c r="I42" s="23" t="s">
        <v>4</v>
      </c>
      <c r="J42" s="23">
        <f t="array" aca="1" ref="J42" ca="1">SUM(IF((A42=TableType)*(B42=TableName),1,0))</f>
        <v>0</v>
      </c>
    </row>
    <row r="43" spans="1:10" s="22" customFormat="1" ht="11.25" x14ac:dyDescent="0.2">
      <c r="A43" s="23" t="s">
        <v>40</v>
      </c>
      <c r="B43" s="23" t="s">
        <v>43</v>
      </c>
      <c r="C43" s="23"/>
      <c r="D43" s="23"/>
      <c r="E43" s="23"/>
      <c r="F43" s="23"/>
      <c r="G43" s="23"/>
      <c r="H43" s="23"/>
      <c r="I43" s="23" t="s">
        <v>4</v>
      </c>
      <c r="J43" s="23">
        <f t="array" aca="1" ref="J43" ca="1">SUM(IF((A43=TableType)*(B43=TableName),1,0))</f>
        <v>0</v>
      </c>
    </row>
    <row r="44" spans="1:10" s="22" customFormat="1" ht="11.25" x14ac:dyDescent="0.2">
      <c r="A44" s="23" t="s">
        <v>40</v>
      </c>
      <c r="B44" s="23" t="s">
        <v>75</v>
      </c>
      <c r="C44" s="23"/>
      <c r="D44" s="23"/>
      <c r="E44" s="23"/>
      <c r="F44" s="23"/>
      <c r="G44" s="23"/>
      <c r="H44" s="23"/>
      <c r="I44" s="23" t="s">
        <v>4</v>
      </c>
      <c r="J44" s="23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2"/>
  <sheetViews>
    <sheetView workbookViewId="0">
      <pane ySplit="1" topLeftCell="A9" activePane="bottomLeft" state="frozen"/>
      <selection activeCell="C1048532" sqref="C1048532"/>
      <selection pane="bottomLeft" activeCell="B25" sqref="B25"/>
    </sheetView>
  </sheetViews>
  <sheetFormatPr defaultRowHeight="12" customHeight="1" x14ac:dyDescent="0.2"/>
  <cols>
    <col min="1" max="1" width="14.140625" style="25" bestFit="1" customWidth="1"/>
    <col min="2" max="2" width="24" style="25" bestFit="1" customWidth="1"/>
    <col min="3" max="3" width="25.140625" style="25" bestFit="1" customWidth="1"/>
    <col min="4" max="4" width="19.5703125" style="25" bestFit="1" customWidth="1"/>
    <col min="5" max="5" width="19.42578125" style="25" bestFit="1" customWidth="1"/>
    <col min="6" max="6" width="13.42578125" style="25" bestFit="1" customWidth="1"/>
    <col min="7" max="7" width="17" style="25" bestFit="1" customWidth="1"/>
    <col min="8" max="8" width="8.85546875" style="25" bestFit="1" customWidth="1"/>
    <col min="9" max="9" width="19" style="42" bestFit="1" customWidth="1"/>
    <col min="10" max="11" width="21.85546875" style="25" bestFit="1" customWidth="1"/>
    <col min="12" max="16384" width="9.140625" style="25"/>
  </cols>
  <sheetData>
    <row r="1" spans="1:12" s="24" customFormat="1" ht="15" customHeight="1" x14ac:dyDescent="0.25">
      <c r="A1" s="57" t="s">
        <v>33</v>
      </c>
      <c r="B1" s="57" t="s">
        <v>34</v>
      </c>
      <c r="C1" s="57" t="s">
        <v>19</v>
      </c>
      <c r="D1" s="57" t="s">
        <v>35</v>
      </c>
      <c r="E1" s="57" t="s">
        <v>36</v>
      </c>
      <c r="F1" s="57" t="s">
        <v>37</v>
      </c>
      <c r="G1" s="57" t="s">
        <v>38</v>
      </c>
      <c r="H1" s="57" t="s">
        <v>27</v>
      </c>
      <c r="I1" s="57" t="s">
        <v>39</v>
      </c>
      <c r="J1" s="56" t="s">
        <v>107</v>
      </c>
      <c r="K1" s="58" t="s">
        <v>106</v>
      </c>
      <c r="L1" s="67" t="s">
        <v>110</v>
      </c>
    </row>
    <row r="2" spans="1:12" ht="12" customHeight="1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</row>
    <row r="3" spans="1:12" ht="12" customHeight="1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2" ht="12" customHeight="1" x14ac:dyDescent="0.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</row>
    <row r="5" spans="1:12" ht="12" customHeight="1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</row>
    <row r="6" spans="1:12" ht="12" customHeight="1" x14ac:dyDescent="0.2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</row>
    <row r="7" spans="1:12" ht="12" customHeight="1" x14ac:dyDescent="0.2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</row>
    <row r="8" spans="1:12" ht="12" customHeight="1" x14ac:dyDescent="0.2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</row>
    <row r="9" spans="1:12" ht="12" customHeight="1" x14ac:dyDescent="0.2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</row>
    <row r="10" spans="1:12" ht="12" customHeight="1" x14ac:dyDescent="0.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</row>
    <row r="11" spans="1:12" ht="12" customHeight="1" x14ac:dyDescent="0.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</row>
    <row r="12" spans="1:12" ht="12" customHeight="1" x14ac:dyDescent="0.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</row>
    <row r="13" spans="1:12" ht="12" customHeight="1" x14ac:dyDescent="0.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</row>
    <row r="14" spans="1:12" ht="12" customHeight="1" x14ac:dyDescent="0.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</row>
    <row r="15" spans="1:12" ht="12" customHeight="1" x14ac:dyDescent="0.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2" ht="12" customHeight="1" x14ac:dyDescent="0.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</row>
    <row r="17" spans="1:11" ht="12" customHeight="1" x14ac:dyDescent="0.2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</row>
    <row r="18" spans="1:11" ht="12" customHeight="1" x14ac:dyDescent="0.2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</row>
    <row r="19" spans="1:11" ht="12" customHeight="1" x14ac:dyDescent="0.2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</row>
    <row r="20" spans="1:11" ht="12" customHeight="1" x14ac:dyDescent="0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</row>
    <row r="21" spans="1:11" ht="12" customHeight="1" x14ac:dyDescent="0.2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</row>
    <row r="22" spans="1:11" ht="12" customHeight="1" x14ac:dyDescent="0.2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</row>
    <row r="23" spans="1:11" ht="12" customHeight="1" x14ac:dyDescent="0.2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</row>
    <row r="24" spans="1:11" ht="12" customHeight="1" x14ac:dyDescent="0.2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</row>
    <row r="25" spans="1:11" ht="12" customHeight="1" x14ac:dyDescent="0.2">
      <c r="I25" s="25"/>
    </row>
    <row r="26" spans="1:11" ht="12" customHeight="1" x14ac:dyDescent="0.2">
      <c r="I26" s="25"/>
    </row>
    <row r="27" spans="1:11" ht="12" customHeight="1" x14ac:dyDescent="0.2">
      <c r="I27" s="25"/>
    </row>
    <row r="28" spans="1:11" ht="12" customHeight="1" x14ac:dyDescent="0.2">
      <c r="I28" s="25"/>
    </row>
    <row r="29" spans="1:11" ht="12" customHeight="1" x14ac:dyDescent="0.2">
      <c r="I29" s="25"/>
    </row>
    <row r="30" spans="1:11" ht="12" customHeight="1" x14ac:dyDescent="0.2">
      <c r="I30" s="25"/>
    </row>
    <row r="31" spans="1:11" ht="12" customHeight="1" x14ac:dyDescent="0.2">
      <c r="I31" s="25"/>
    </row>
    <row r="32" spans="1:11" ht="12" customHeight="1" x14ac:dyDescent="0.2">
      <c r="I32" s="25"/>
    </row>
  </sheetData>
  <autoFilter ref="A1:J1"/>
  <sortState ref="A3:K24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1.25" x14ac:dyDescent="0.25"/>
  <cols>
    <col min="1" max="1" width="20.42578125" style="18" bestFit="1" customWidth="1"/>
    <col min="2" max="2" width="24.140625" style="18" customWidth="1"/>
    <col min="3" max="3" width="22.7109375" style="18" customWidth="1"/>
    <col min="4" max="4" width="32.28515625" style="18" customWidth="1"/>
    <col min="5" max="5" width="16.5703125" style="18" customWidth="1"/>
    <col min="6" max="6" width="12.85546875" style="18" bestFit="1" customWidth="1"/>
    <col min="7" max="7" width="12.85546875" style="18" customWidth="1"/>
    <col min="8" max="8" width="10.5703125" style="92" bestFit="1" customWidth="1"/>
    <col min="9" max="9" width="12.7109375" style="18" bestFit="1" customWidth="1"/>
    <col min="10" max="10" width="8.42578125" style="18" bestFit="1" customWidth="1"/>
    <col min="11" max="11" width="8.5703125" style="18" bestFit="1" customWidth="1"/>
    <col min="12" max="12" width="5.5703125" style="92" bestFit="1" customWidth="1"/>
    <col min="13" max="13" width="11.7109375" style="18" bestFit="1" customWidth="1"/>
    <col min="14" max="14" width="11.7109375" style="92" bestFit="1" customWidth="1"/>
    <col min="15" max="15" width="9.140625" style="92" bestFit="1" customWidth="1"/>
    <col min="16" max="16" width="42.140625" style="18" bestFit="1" customWidth="1"/>
    <col min="17" max="17" width="17.85546875" style="18" customWidth="1"/>
    <col min="18" max="16384" width="9.140625" style="18"/>
  </cols>
  <sheetData>
    <row r="1" spans="1:17" s="17" customFormat="1" ht="12.75" customHeight="1" x14ac:dyDescent="0.25">
      <c r="A1" s="44"/>
      <c r="B1" s="45"/>
      <c r="C1" s="45"/>
      <c r="D1" s="45"/>
      <c r="E1" s="45"/>
      <c r="F1" s="46"/>
      <c r="G1" s="46"/>
      <c r="H1" s="47"/>
      <c r="I1" s="94" t="s">
        <v>17</v>
      </c>
      <c r="J1" s="95"/>
      <c r="K1" s="95"/>
      <c r="L1" s="95"/>
      <c r="M1" s="95"/>
      <c r="N1" s="95"/>
      <c r="O1" s="95"/>
      <c r="P1" s="95"/>
      <c r="Q1" s="51"/>
    </row>
    <row r="2" spans="1:17" s="24" customFormat="1" x14ac:dyDescent="0.25">
      <c r="A2" s="48" t="s">
        <v>34</v>
      </c>
      <c r="B2" s="31" t="s">
        <v>18</v>
      </c>
      <c r="C2" s="31" t="s">
        <v>19</v>
      </c>
      <c r="D2" s="31" t="s">
        <v>20</v>
      </c>
      <c r="E2" s="31" t="s">
        <v>21</v>
      </c>
      <c r="F2" s="31" t="s">
        <v>24</v>
      </c>
      <c r="G2" s="31" t="s">
        <v>25</v>
      </c>
      <c r="H2" s="49" t="s">
        <v>101</v>
      </c>
      <c r="I2" s="43" t="s">
        <v>26</v>
      </c>
      <c r="J2" s="32" t="s">
        <v>27</v>
      </c>
      <c r="K2" s="32" t="s">
        <v>28</v>
      </c>
      <c r="L2" s="32" t="s">
        <v>31</v>
      </c>
      <c r="M2" s="31" t="s">
        <v>32</v>
      </c>
      <c r="N2" s="32" t="s">
        <v>98</v>
      </c>
      <c r="O2" s="32" t="s">
        <v>29</v>
      </c>
      <c r="P2" s="50" t="s">
        <v>30</v>
      </c>
      <c r="Q2" s="55" t="s">
        <v>105</v>
      </c>
    </row>
  </sheetData>
  <autoFilter ref="A2:Q2"/>
  <mergeCells count="1">
    <mergeCell ref="I1:P1"/>
  </mergeCells>
  <dataValidations count="1">
    <dataValidation type="list" allowBlank="1" showInputMessage="1" showErrorMessage="1" sqref="A1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60"/>
  <sheetViews>
    <sheetView topLeftCell="A42" workbookViewId="0">
      <pane xSplit="2" topLeftCell="C1" activePane="topRight" state="frozen"/>
      <selection activeCell="B130" sqref="B130"/>
      <selection pane="topRight" activeCell="C34" sqref="C34"/>
    </sheetView>
  </sheetViews>
  <sheetFormatPr defaultRowHeight="11.25" x14ac:dyDescent="0.25"/>
  <cols>
    <col min="1" max="1" width="24" style="18" bestFit="1" customWidth="1"/>
    <col min="2" max="2" width="22.85546875" style="18" bestFit="1" customWidth="1"/>
    <col min="3" max="3" width="22.7109375" style="18" bestFit="1" customWidth="1"/>
    <col min="4" max="4" width="13.28515625" style="18" bestFit="1" customWidth="1"/>
    <col min="5" max="5" width="12.140625" style="18" bestFit="1" customWidth="1"/>
    <col min="6" max="6" width="10.5703125" style="18" bestFit="1" customWidth="1"/>
    <col min="7" max="7" width="12.7109375" style="18" bestFit="1" customWidth="1"/>
    <col min="8" max="8" width="11.7109375" style="18" bestFit="1" customWidth="1"/>
    <col min="9" max="9" width="8.5703125" style="18" bestFit="1" customWidth="1"/>
    <col min="10" max="10" width="11.85546875" style="18" bestFit="1" customWidth="1"/>
    <col min="11" max="11" width="9.140625" style="18" bestFit="1" customWidth="1"/>
    <col min="12" max="12" width="32.5703125" style="18" bestFit="1" customWidth="1"/>
    <col min="13" max="13" width="10.140625" style="18" bestFit="1" customWidth="1"/>
    <col min="14" max="14" width="42.140625" style="18" bestFit="1" customWidth="1"/>
    <col min="15" max="15" width="14.85546875" style="18" bestFit="1" customWidth="1"/>
    <col min="16" max="16" width="14.5703125" style="18" customWidth="1"/>
    <col min="17" max="17" width="13.42578125" style="18" bestFit="1" customWidth="1"/>
    <col min="18" max="18" width="8.28515625" style="18" bestFit="1" customWidth="1"/>
    <col min="19" max="19" width="0" style="18" hidden="1" customWidth="1"/>
    <col min="20" max="16384" width="9.140625" style="18"/>
  </cols>
  <sheetData>
    <row r="1" spans="1:19" s="17" customFormat="1" ht="12.75" customHeight="1" x14ac:dyDescent="0.25">
      <c r="A1" s="52"/>
      <c r="B1" s="53"/>
      <c r="C1" s="53"/>
      <c r="D1" s="53"/>
      <c r="E1" s="53"/>
      <c r="F1" s="53"/>
      <c r="G1" s="54"/>
      <c r="H1" s="96" t="s">
        <v>17</v>
      </c>
      <c r="I1" s="97"/>
      <c r="J1" s="97"/>
      <c r="K1" s="97"/>
      <c r="L1" s="97"/>
      <c r="M1" s="97"/>
      <c r="N1" s="98"/>
      <c r="O1" s="99"/>
      <c r="P1" s="100"/>
      <c r="Q1" s="101"/>
      <c r="R1" s="102"/>
      <c r="S1" s="103"/>
    </row>
    <row r="2" spans="1:19" s="24" customFormat="1" ht="22.5" x14ac:dyDescent="0.25">
      <c r="A2" s="59" t="s">
        <v>34</v>
      </c>
      <c r="B2" s="60" t="s">
        <v>18</v>
      </c>
      <c r="C2" s="60" t="s">
        <v>19</v>
      </c>
      <c r="D2" s="60" t="s">
        <v>20</v>
      </c>
      <c r="E2" s="60" t="s">
        <v>21</v>
      </c>
      <c r="F2" s="60" t="s">
        <v>24</v>
      </c>
      <c r="G2" s="61" t="s">
        <v>25</v>
      </c>
      <c r="H2" s="62" t="s">
        <v>26</v>
      </c>
      <c r="I2" s="63" t="s">
        <v>27</v>
      </c>
      <c r="J2" s="63" t="s">
        <v>28</v>
      </c>
      <c r="K2" s="63" t="s">
        <v>31</v>
      </c>
      <c r="L2" s="60" t="s">
        <v>32</v>
      </c>
      <c r="M2" s="63" t="s">
        <v>29</v>
      </c>
      <c r="N2" s="63" t="s">
        <v>30</v>
      </c>
      <c r="O2" s="64" t="s">
        <v>98</v>
      </c>
      <c r="P2" s="59" t="s">
        <v>105</v>
      </c>
      <c r="Q2" s="63" t="s">
        <v>42</v>
      </c>
      <c r="R2" s="65" t="s">
        <v>97</v>
      </c>
      <c r="S2" s="66" t="s">
        <v>102</v>
      </c>
    </row>
    <row r="3" spans="1:19" x14ac:dyDescent="0.25">
      <c r="A3" s="33" t="s">
        <v>131</v>
      </c>
      <c r="B3" s="33" t="s">
        <v>137</v>
      </c>
      <c r="C3" s="33" t="s">
        <v>137</v>
      </c>
      <c r="D3" s="33"/>
      <c r="E3" s="33"/>
      <c r="F3" s="33"/>
      <c r="G3" s="33"/>
      <c r="H3" s="33" t="s">
        <v>108</v>
      </c>
      <c r="I3" s="33"/>
      <c r="J3" s="33"/>
      <c r="K3" s="33" t="s">
        <v>4</v>
      </c>
      <c r="L3" s="33"/>
      <c r="M3" s="33" t="s">
        <v>100</v>
      </c>
      <c r="N3" s="33" t="s">
        <v>138</v>
      </c>
      <c r="O3" s="33"/>
      <c r="P3" s="33"/>
      <c r="Q3" s="33"/>
      <c r="R3" s="33"/>
      <c r="S3" s="33">
        <v>1</v>
      </c>
    </row>
    <row r="4" spans="1:19" x14ac:dyDescent="0.25">
      <c r="A4" s="33" t="s">
        <v>131</v>
      </c>
      <c r="B4" s="33" t="s">
        <v>122</v>
      </c>
      <c r="C4" s="33" t="s">
        <v>122</v>
      </c>
      <c r="D4" s="33"/>
      <c r="E4" s="33"/>
      <c r="F4" s="33"/>
      <c r="G4" s="33"/>
      <c r="H4" s="33" t="s">
        <v>108</v>
      </c>
      <c r="I4" s="33"/>
      <c r="J4" s="33"/>
      <c r="K4" s="33" t="s">
        <v>4</v>
      </c>
      <c r="L4" s="33"/>
      <c r="M4" s="33" t="s">
        <v>100</v>
      </c>
      <c r="N4" s="33" t="s">
        <v>151</v>
      </c>
      <c r="O4" s="33"/>
      <c r="P4" s="33"/>
      <c r="Q4" s="33"/>
      <c r="R4" s="33"/>
      <c r="S4" s="33">
        <v>13</v>
      </c>
    </row>
    <row r="5" spans="1:19" x14ac:dyDescent="0.25">
      <c r="A5" s="33" t="s">
        <v>131</v>
      </c>
      <c r="B5" s="33" t="s">
        <v>123</v>
      </c>
      <c r="C5" s="33" t="s">
        <v>123</v>
      </c>
      <c r="D5" s="33"/>
      <c r="E5" s="33"/>
      <c r="F5" s="33"/>
      <c r="G5" s="33"/>
      <c r="H5" s="33" t="s">
        <v>108</v>
      </c>
      <c r="I5" s="33"/>
      <c r="J5" s="33"/>
      <c r="K5" s="33" t="s">
        <v>4</v>
      </c>
      <c r="L5" s="33"/>
      <c r="M5" s="33" t="s">
        <v>100</v>
      </c>
      <c r="N5" s="33" t="s">
        <v>143</v>
      </c>
      <c r="O5" s="33"/>
      <c r="P5" s="33"/>
      <c r="Q5" s="33"/>
      <c r="R5" s="33"/>
      <c r="S5" s="33">
        <v>16</v>
      </c>
    </row>
    <row r="6" spans="1:19" x14ac:dyDescent="0.25">
      <c r="A6" s="33" t="s">
        <v>131</v>
      </c>
      <c r="B6" s="33" t="s">
        <v>146</v>
      </c>
      <c r="C6" s="33" t="s">
        <v>146</v>
      </c>
      <c r="D6" s="33"/>
      <c r="E6" s="33"/>
      <c r="F6" s="33"/>
      <c r="G6" s="33"/>
      <c r="H6" s="33" t="s">
        <v>108</v>
      </c>
      <c r="I6" s="33"/>
      <c r="J6" s="33"/>
      <c r="K6" s="33" t="s">
        <v>4</v>
      </c>
      <c r="L6" s="33"/>
      <c r="M6" s="33" t="s">
        <v>100</v>
      </c>
      <c r="N6" s="33" t="s">
        <v>147</v>
      </c>
      <c r="O6" s="33"/>
      <c r="P6" s="33"/>
      <c r="Q6" s="33"/>
      <c r="R6" s="33"/>
      <c r="S6" s="33">
        <v>19</v>
      </c>
    </row>
    <row r="7" spans="1:19" x14ac:dyDescent="0.25">
      <c r="A7" s="33" t="s">
        <v>131</v>
      </c>
      <c r="B7" s="33" t="s">
        <v>148</v>
      </c>
      <c r="C7" s="33" t="s">
        <v>148</v>
      </c>
      <c r="D7" s="33"/>
      <c r="E7" s="33"/>
      <c r="F7" s="33"/>
      <c r="G7" s="33"/>
      <c r="H7" s="33" t="s">
        <v>108</v>
      </c>
      <c r="I7" s="33"/>
      <c r="J7" s="33"/>
      <c r="K7" s="33" t="s">
        <v>4</v>
      </c>
      <c r="L7" s="33"/>
      <c r="M7" s="33" t="s">
        <v>100</v>
      </c>
      <c r="N7" s="33" t="s">
        <v>149</v>
      </c>
      <c r="O7" s="33"/>
      <c r="P7" s="33"/>
      <c r="Q7" s="33"/>
      <c r="R7" s="33"/>
      <c r="S7" s="33">
        <v>22</v>
      </c>
    </row>
    <row r="8" spans="1:19" x14ac:dyDescent="0.25">
      <c r="A8" s="33" t="s">
        <v>131</v>
      </c>
      <c r="B8" s="33" t="s">
        <v>113</v>
      </c>
      <c r="C8" s="33" t="s">
        <v>113</v>
      </c>
      <c r="D8" s="33"/>
      <c r="E8" s="33"/>
      <c r="F8" s="33"/>
      <c r="G8" s="33"/>
      <c r="H8" s="33" t="s">
        <v>109</v>
      </c>
      <c r="I8" s="33">
        <v>18</v>
      </c>
      <c r="J8" s="33">
        <v>2</v>
      </c>
      <c r="K8" s="33" t="s">
        <v>4</v>
      </c>
      <c r="L8" s="33"/>
      <c r="M8" s="33"/>
      <c r="N8" s="33"/>
      <c r="O8" s="33"/>
      <c r="P8" s="33"/>
      <c r="Q8" s="33"/>
      <c r="R8" s="33"/>
      <c r="S8" s="33">
        <v>1002</v>
      </c>
    </row>
    <row r="9" spans="1:19" x14ac:dyDescent="0.25">
      <c r="A9" s="33" t="s">
        <v>132</v>
      </c>
      <c r="B9" s="33" t="s">
        <v>137</v>
      </c>
      <c r="C9" s="33" t="s">
        <v>137</v>
      </c>
      <c r="D9" s="33"/>
      <c r="E9" s="33"/>
      <c r="F9" s="33"/>
      <c r="G9" s="33"/>
      <c r="H9" s="33" t="s">
        <v>108</v>
      </c>
      <c r="I9" s="33"/>
      <c r="J9" s="33"/>
      <c r="K9" s="33" t="s">
        <v>4</v>
      </c>
      <c r="L9" s="33"/>
      <c r="M9" s="33" t="s">
        <v>100</v>
      </c>
      <c r="N9" s="33" t="s">
        <v>138</v>
      </c>
      <c r="O9" s="33"/>
      <c r="P9" s="33"/>
      <c r="Q9" s="33"/>
      <c r="R9" s="33"/>
      <c r="S9" s="33">
        <v>2</v>
      </c>
    </row>
    <row r="10" spans="1:19" x14ac:dyDescent="0.25">
      <c r="A10" s="33" t="s">
        <v>132</v>
      </c>
      <c r="B10" s="33" t="s">
        <v>122</v>
      </c>
      <c r="C10" s="33" t="s">
        <v>122</v>
      </c>
      <c r="D10" s="33"/>
      <c r="E10" s="33"/>
      <c r="F10" s="33"/>
      <c r="G10" s="33"/>
      <c r="H10" s="33" t="s">
        <v>108</v>
      </c>
      <c r="I10" s="33"/>
      <c r="J10" s="33"/>
      <c r="K10" s="33" t="s">
        <v>4</v>
      </c>
      <c r="L10" s="33"/>
      <c r="M10" s="33" t="s">
        <v>100</v>
      </c>
      <c r="N10" s="33" t="s">
        <v>151</v>
      </c>
      <c r="O10" s="33"/>
      <c r="P10" s="33"/>
      <c r="Q10" s="33"/>
      <c r="R10" s="33"/>
      <c r="S10" s="33">
        <v>14</v>
      </c>
    </row>
    <row r="11" spans="1:19" x14ac:dyDescent="0.25">
      <c r="A11" s="33" t="s">
        <v>132</v>
      </c>
      <c r="B11" s="33" t="s">
        <v>123</v>
      </c>
      <c r="C11" s="33" t="s">
        <v>123</v>
      </c>
      <c r="D11" s="33"/>
      <c r="E11" s="33"/>
      <c r="F11" s="33"/>
      <c r="G11" s="33"/>
      <c r="H11" s="33" t="s">
        <v>108</v>
      </c>
      <c r="I11" s="33"/>
      <c r="J11" s="33"/>
      <c r="K11" s="33" t="s">
        <v>4</v>
      </c>
      <c r="L11" s="33"/>
      <c r="M11" s="33" t="s">
        <v>100</v>
      </c>
      <c r="N11" s="33" t="s">
        <v>143</v>
      </c>
      <c r="O11" s="33"/>
      <c r="P11" s="33"/>
      <c r="Q11" s="33"/>
      <c r="R11" s="33"/>
      <c r="S11" s="33">
        <v>17</v>
      </c>
    </row>
    <row r="12" spans="1:19" x14ac:dyDescent="0.25">
      <c r="A12" s="33" t="s">
        <v>132</v>
      </c>
      <c r="B12" s="33" t="s">
        <v>146</v>
      </c>
      <c r="C12" s="33" t="s">
        <v>146</v>
      </c>
      <c r="D12" s="33"/>
      <c r="E12" s="33"/>
      <c r="F12" s="33"/>
      <c r="G12" s="33"/>
      <c r="H12" s="33" t="s">
        <v>108</v>
      </c>
      <c r="I12" s="33"/>
      <c r="J12" s="33"/>
      <c r="K12" s="33" t="s">
        <v>4</v>
      </c>
      <c r="L12" s="33"/>
      <c r="M12" s="33" t="s">
        <v>100</v>
      </c>
      <c r="N12" s="33" t="s">
        <v>147</v>
      </c>
      <c r="O12" s="33"/>
      <c r="P12" s="33"/>
      <c r="Q12" s="33"/>
      <c r="R12" s="33"/>
      <c r="S12" s="33">
        <v>20</v>
      </c>
    </row>
    <row r="13" spans="1:19" x14ac:dyDescent="0.25">
      <c r="A13" s="33" t="s">
        <v>132</v>
      </c>
      <c r="B13" s="33" t="s">
        <v>148</v>
      </c>
      <c r="C13" s="33" t="s">
        <v>148</v>
      </c>
      <c r="D13" s="33"/>
      <c r="E13" s="33"/>
      <c r="F13" s="33"/>
      <c r="G13" s="33"/>
      <c r="H13" s="33" t="s">
        <v>108</v>
      </c>
      <c r="I13" s="33"/>
      <c r="J13" s="33"/>
      <c r="K13" s="33" t="s">
        <v>4</v>
      </c>
      <c r="L13" s="33"/>
      <c r="M13" s="33" t="s">
        <v>100</v>
      </c>
      <c r="N13" s="33" t="s">
        <v>149</v>
      </c>
      <c r="O13" s="33"/>
      <c r="P13" s="33"/>
      <c r="Q13" s="33"/>
      <c r="R13" s="33"/>
      <c r="S13" s="33">
        <v>23</v>
      </c>
    </row>
    <row r="14" spans="1:19" x14ac:dyDescent="0.25">
      <c r="A14" s="33" t="s">
        <v>127</v>
      </c>
      <c r="B14" s="33" t="s">
        <v>137</v>
      </c>
      <c r="C14" s="33" t="s">
        <v>137</v>
      </c>
      <c r="D14" s="33"/>
      <c r="E14" s="33"/>
      <c r="F14" s="33"/>
      <c r="G14" s="33"/>
      <c r="H14" s="33" t="s">
        <v>108</v>
      </c>
      <c r="I14" s="33"/>
      <c r="J14" s="33"/>
      <c r="K14" s="33" t="s">
        <v>4</v>
      </c>
      <c r="L14" s="33"/>
      <c r="M14" s="33" t="s">
        <v>100</v>
      </c>
      <c r="N14" s="33" t="s">
        <v>138</v>
      </c>
      <c r="O14" s="33"/>
      <c r="P14" s="33"/>
      <c r="Q14" s="33"/>
      <c r="R14" s="33"/>
      <c r="S14" s="33">
        <v>3</v>
      </c>
    </row>
    <row r="15" spans="1:19" x14ac:dyDescent="0.25">
      <c r="A15" s="33" t="s">
        <v>127</v>
      </c>
      <c r="B15" s="33" t="s">
        <v>139</v>
      </c>
      <c r="C15" s="33" t="s">
        <v>139</v>
      </c>
      <c r="D15" s="33"/>
      <c r="E15" s="33"/>
      <c r="F15" s="33"/>
      <c r="G15" s="33"/>
      <c r="H15" s="33" t="s">
        <v>108</v>
      </c>
      <c r="I15" s="33"/>
      <c r="J15" s="33"/>
      <c r="K15" s="33" t="s">
        <v>4</v>
      </c>
      <c r="L15" s="33"/>
      <c r="M15" s="33" t="s">
        <v>100</v>
      </c>
      <c r="N15" s="33" t="s">
        <v>140</v>
      </c>
      <c r="O15" s="33"/>
      <c r="P15" s="33"/>
      <c r="Q15" s="33"/>
      <c r="R15" s="33"/>
      <c r="S15" s="33">
        <v>6</v>
      </c>
    </row>
    <row r="16" spans="1:19" x14ac:dyDescent="0.25">
      <c r="A16" s="33" t="s">
        <v>127</v>
      </c>
      <c r="B16" s="33" t="s">
        <v>121</v>
      </c>
      <c r="C16" s="33" t="s">
        <v>121</v>
      </c>
      <c r="D16" s="33"/>
      <c r="E16" s="33"/>
      <c r="F16" s="33"/>
      <c r="G16" s="33"/>
      <c r="H16" s="33" t="s">
        <v>108</v>
      </c>
      <c r="I16" s="33"/>
      <c r="J16" s="33"/>
      <c r="K16" s="33" t="s">
        <v>4</v>
      </c>
      <c r="L16" s="33"/>
      <c r="M16" s="33" t="s">
        <v>100</v>
      </c>
      <c r="N16" s="33" t="s">
        <v>141</v>
      </c>
      <c r="O16" s="33"/>
      <c r="P16" s="33"/>
      <c r="Q16" s="33"/>
      <c r="R16" s="33"/>
      <c r="S16" s="33">
        <v>9</v>
      </c>
    </row>
    <row r="17" spans="1:19" x14ac:dyDescent="0.25">
      <c r="A17" s="33" t="s">
        <v>127</v>
      </c>
      <c r="B17" s="33" t="s">
        <v>116</v>
      </c>
      <c r="C17" s="33" t="s">
        <v>116</v>
      </c>
      <c r="D17" s="33"/>
      <c r="E17" s="33"/>
      <c r="F17" s="33"/>
      <c r="G17" s="33"/>
      <c r="H17" s="33" t="s">
        <v>108</v>
      </c>
      <c r="I17" s="33"/>
      <c r="J17" s="33"/>
      <c r="K17" s="33" t="s">
        <v>4</v>
      </c>
      <c r="L17" s="33"/>
      <c r="M17" s="33" t="s">
        <v>100</v>
      </c>
      <c r="N17" s="33" t="s">
        <v>142</v>
      </c>
      <c r="O17" s="33"/>
      <c r="P17" s="33"/>
      <c r="Q17" s="33"/>
      <c r="R17" s="33"/>
      <c r="S17" s="33">
        <v>12</v>
      </c>
    </row>
    <row r="18" spans="1:19" x14ac:dyDescent="0.25">
      <c r="A18" s="33" t="s">
        <v>127</v>
      </c>
      <c r="B18" s="33" t="s">
        <v>123</v>
      </c>
      <c r="C18" s="33" t="s">
        <v>123</v>
      </c>
      <c r="D18" s="33"/>
      <c r="E18" s="33"/>
      <c r="F18" s="33"/>
      <c r="G18" s="33"/>
      <c r="H18" s="33" t="s">
        <v>108</v>
      </c>
      <c r="I18" s="33"/>
      <c r="J18" s="33"/>
      <c r="K18" s="33" t="s">
        <v>4</v>
      </c>
      <c r="L18" s="33"/>
      <c r="M18" s="33" t="s">
        <v>100</v>
      </c>
      <c r="N18" s="33" t="s">
        <v>143</v>
      </c>
      <c r="O18" s="33"/>
      <c r="P18" s="33"/>
      <c r="Q18" s="33"/>
      <c r="R18" s="33"/>
      <c r="S18" s="33">
        <v>18</v>
      </c>
    </row>
    <row r="19" spans="1:19" x14ac:dyDescent="0.25">
      <c r="A19" s="33" t="s">
        <v>127</v>
      </c>
      <c r="B19" s="33" t="s">
        <v>146</v>
      </c>
      <c r="C19" s="33" t="s">
        <v>146</v>
      </c>
      <c r="D19" s="33"/>
      <c r="E19" s="33"/>
      <c r="F19" s="33"/>
      <c r="G19" s="33"/>
      <c r="H19" s="33" t="s">
        <v>108</v>
      </c>
      <c r="I19" s="33"/>
      <c r="J19" s="33"/>
      <c r="K19" s="33" t="s">
        <v>4</v>
      </c>
      <c r="L19" s="33"/>
      <c r="M19" s="33" t="s">
        <v>100</v>
      </c>
      <c r="N19" s="33" t="s">
        <v>147</v>
      </c>
      <c r="O19" s="33"/>
      <c r="P19" s="33"/>
      <c r="Q19" s="33"/>
      <c r="R19" s="33"/>
      <c r="S19" s="33">
        <v>21</v>
      </c>
    </row>
    <row r="20" spans="1:19" x14ac:dyDescent="0.25">
      <c r="A20" s="33" t="s">
        <v>127</v>
      </c>
      <c r="B20" s="33" t="s">
        <v>148</v>
      </c>
      <c r="C20" s="33" t="s">
        <v>148</v>
      </c>
      <c r="D20" s="33"/>
      <c r="E20" s="33"/>
      <c r="F20" s="33"/>
      <c r="G20" s="33"/>
      <c r="H20" s="33" t="s">
        <v>108</v>
      </c>
      <c r="I20" s="33"/>
      <c r="J20" s="33"/>
      <c r="K20" s="33" t="s">
        <v>4</v>
      </c>
      <c r="L20" s="33"/>
      <c r="M20" s="33" t="s">
        <v>100</v>
      </c>
      <c r="N20" s="33" t="s">
        <v>149</v>
      </c>
      <c r="O20" s="33"/>
      <c r="P20" s="33"/>
      <c r="Q20" s="33"/>
      <c r="R20" s="33"/>
      <c r="S20" s="33">
        <v>24</v>
      </c>
    </row>
    <row r="21" spans="1:19" x14ac:dyDescent="0.25">
      <c r="A21" s="33" t="s">
        <v>125</v>
      </c>
      <c r="B21" s="33" t="s">
        <v>137</v>
      </c>
      <c r="C21" s="33" t="s">
        <v>137</v>
      </c>
      <c r="D21" s="33"/>
      <c r="E21" s="33"/>
      <c r="F21" s="33"/>
      <c r="G21" s="33"/>
      <c r="H21" s="33" t="s">
        <v>108</v>
      </c>
      <c r="I21" s="33"/>
      <c r="J21" s="33"/>
      <c r="K21" s="33" t="s">
        <v>4</v>
      </c>
      <c r="L21" s="33"/>
      <c r="M21" s="33" t="s">
        <v>100</v>
      </c>
      <c r="N21" s="33" t="s">
        <v>138</v>
      </c>
      <c r="O21" s="33"/>
      <c r="P21" s="33"/>
      <c r="Q21" s="33"/>
      <c r="R21" s="33"/>
      <c r="S21" s="33">
        <v>2</v>
      </c>
    </row>
    <row r="22" spans="1:19" x14ac:dyDescent="0.25">
      <c r="A22" s="33" t="s">
        <v>125</v>
      </c>
      <c r="B22" s="33" t="s">
        <v>116</v>
      </c>
      <c r="C22" s="33" t="s">
        <v>116</v>
      </c>
      <c r="D22" s="33"/>
      <c r="E22" s="33"/>
      <c r="F22" s="33"/>
      <c r="G22" s="33"/>
      <c r="H22" s="33" t="s">
        <v>108</v>
      </c>
      <c r="I22" s="33"/>
      <c r="J22" s="33"/>
      <c r="K22" s="33" t="s">
        <v>4</v>
      </c>
      <c r="L22" s="33"/>
      <c r="M22" s="33" t="s">
        <v>100</v>
      </c>
      <c r="N22" s="33" t="s">
        <v>142</v>
      </c>
      <c r="O22" s="33"/>
      <c r="P22" s="33"/>
      <c r="Q22" s="33"/>
      <c r="R22" s="33"/>
      <c r="S22" s="33">
        <v>11</v>
      </c>
    </row>
    <row r="23" spans="1:19" x14ac:dyDescent="0.25">
      <c r="A23" s="33" t="s">
        <v>124</v>
      </c>
      <c r="B23" s="33" t="s">
        <v>137</v>
      </c>
      <c r="C23" s="33" t="s">
        <v>137</v>
      </c>
      <c r="D23" s="33"/>
      <c r="E23" s="33"/>
      <c r="F23" s="33"/>
      <c r="G23" s="33"/>
      <c r="H23" s="33" t="s">
        <v>108</v>
      </c>
      <c r="I23" s="33"/>
      <c r="J23" s="33"/>
      <c r="K23" s="33" t="s">
        <v>4</v>
      </c>
      <c r="L23" s="33"/>
      <c r="M23" s="33" t="s">
        <v>100</v>
      </c>
      <c r="N23" s="33" t="s">
        <v>138</v>
      </c>
      <c r="O23" s="33"/>
      <c r="P23" s="33"/>
      <c r="Q23" s="33"/>
      <c r="R23" s="33"/>
      <c r="S23" s="33">
        <v>1</v>
      </c>
    </row>
    <row r="24" spans="1:19" x14ac:dyDescent="0.25">
      <c r="A24" s="33" t="s">
        <v>124</v>
      </c>
      <c r="B24" s="33" t="s">
        <v>139</v>
      </c>
      <c r="C24" s="33" t="s">
        <v>139</v>
      </c>
      <c r="D24" s="33"/>
      <c r="E24" s="33"/>
      <c r="F24" s="33"/>
      <c r="G24" s="33"/>
      <c r="H24" s="33" t="s">
        <v>108</v>
      </c>
      <c r="I24" s="33"/>
      <c r="J24" s="33"/>
      <c r="K24" s="33" t="s">
        <v>4</v>
      </c>
      <c r="L24" s="33"/>
      <c r="M24" s="33" t="s">
        <v>100</v>
      </c>
      <c r="N24" s="33" t="s">
        <v>140</v>
      </c>
      <c r="O24" s="33"/>
      <c r="P24" s="33"/>
      <c r="Q24" s="33"/>
      <c r="R24" s="33"/>
      <c r="S24" s="33">
        <v>4</v>
      </c>
    </row>
    <row r="25" spans="1:19" x14ac:dyDescent="0.25">
      <c r="A25" s="33" t="s">
        <v>124</v>
      </c>
      <c r="B25" s="33" t="s">
        <v>121</v>
      </c>
      <c r="C25" s="33" t="s">
        <v>121</v>
      </c>
      <c r="D25" s="33"/>
      <c r="E25" s="33"/>
      <c r="F25" s="33"/>
      <c r="G25" s="33"/>
      <c r="H25" s="33" t="s">
        <v>108</v>
      </c>
      <c r="I25" s="33"/>
      <c r="J25" s="33"/>
      <c r="K25" s="33" t="s">
        <v>4</v>
      </c>
      <c r="L25" s="33"/>
      <c r="M25" s="33" t="s">
        <v>100</v>
      </c>
      <c r="N25" s="33" t="s">
        <v>141</v>
      </c>
      <c r="O25" s="33"/>
      <c r="P25" s="33"/>
      <c r="Q25" s="33"/>
      <c r="R25" s="33"/>
      <c r="S25" s="33">
        <v>7</v>
      </c>
    </row>
    <row r="26" spans="1:19" x14ac:dyDescent="0.25">
      <c r="A26" s="33" t="s">
        <v>124</v>
      </c>
      <c r="B26" s="33" t="s">
        <v>116</v>
      </c>
      <c r="C26" s="33" t="s">
        <v>116</v>
      </c>
      <c r="D26" s="33"/>
      <c r="E26" s="33"/>
      <c r="F26" s="33"/>
      <c r="G26" s="33"/>
      <c r="H26" s="33" t="s">
        <v>108</v>
      </c>
      <c r="I26" s="33"/>
      <c r="J26" s="33"/>
      <c r="K26" s="33" t="s">
        <v>4</v>
      </c>
      <c r="L26" s="33"/>
      <c r="M26" s="33" t="s">
        <v>100</v>
      </c>
      <c r="N26" s="33" t="s">
        <v>142</v>
      </c>
      <c r="O26" s="33"/>
      <c r="P26" s="33"/>
      <c r="Q26" s="33"/>
      <c r="R26" s="33"/>
      <c r="S26" s="33">
        <v>10</v>
      </c>
    </row>
    <row r="27" spans="1:19" x14ac:dyDescent="0.25">
      <c r="A27" s="33" t="s">
        <v>124</v>
      </c>
      <c r="B27" s="33" t="s">
        <v>123</v>
      </c>
      <c r="C27" s="33" t="s">
        <v>123</v>
      </c>
      <c r="D27" s="33"/>
      <c r="E27" s="33"/>
      <c r="F27" s="33"/>
      <c r="G27" s="33"/>
      <c r="H27" s="33" t="s">
        <v>108</v>
      </c>
      <c r="I27" s="33"/>
      <c r="J27" s="33"/>
      <c r="K27" s="33" t="s">
        <v>4</v>
      </c>
      <c r="L27" s="33"/>
      <c r="M27" s="33" t="s">
        <v>100</v>
      </c>
      <c r="N27" s="33" t="s">
        <v>143</v>
      </c>
      <c r="O27" s="33"/>
      <c r="P27" s="33"/>
      <c r="Q27" s="33"/>
      <c r="R27" s="33"/>
      <c r="S27" s="33">
        <v>13</v>
      </c>
    </row>
    <row r="28" spans="1:19" x14ac:dyDescent="0.25">
      <c r="A28" s="33" t="s">
        <v>124</v>
      </c>
      <c r="B28" s="33" t="s">
        <v>119</v>
      </c>
      <c r="C28" s="33" t="s">
        <v>119</v>
      </c>
      <c r="D28" s="33"/>
      <c r="E28" s="33"/>
      <c r="F28" s="33"/>
      <c r="G28" s="33"/>
      <c r="H28" s="33" t="s">
        <v>108</v>
      </c>
      <c r="I28" s="33"/>
      <c r="J28" s="33"/>
      <c r="K28" s="33" t="s">
        <v>4</v>
      </c>
      <c r="L28" s="33"/>
      <c r="M28" s="33" t="s">
        <v>100</v>
      </c>
      <c r="N28" s="33" t="s">
        <v>144</v>
      </c>
      <c r="O28" s="33"/>
      <c r="P28" s="33"/>
      <c r="Q28" s="33"/>
      <c r="R28" s="33"/>
      <c r="S28" s="33">
        <v>16</v>
      </c>
    </row>
    <row r="29" spans="1:19" x14ac:dyDescent="0.25">
      <c r="A29" s="33" t="s">
        <v>124</v>
      </c>
      <c r="B29" s="33" t="s">
        <v>117</v>
      </c>
      <c r="C29" s="33" t="s">
        <v>117</v>
      </c>
      <c r="D29" s="33"/>
      <c r="E29" s="33"/>
      <c r="F29" s="33"/>
      <c r="G29" s="33"/>
      <c r="H29" s="33" t="s">
        <v>108</v>
      </c>
      <c r="I29" s="33"/>
      <c r="J29" s="33"/>
      <c r="K29" s="33" t="s">
        <v>4</v>
      </c>
      <c r="L29" s="33"/>
      <c r="M29" s="33" t="s">
        <v>100</v>
      </c>
      <c r="N29" s="33" t="s">
        <v>145</v>
      </c>
      <c r="O29" s="33"/>
      <c r="P29" s="33"/>
      <c r="Q29" s="33"/>
      <c r="R29" s="33"/>
      <c r="S29" s="33">
        <v>19</v>
      </c>
    </row>
    <row r="30" spans="1:19" x14ac:dyDescent="0.25">
      <c r="A30" s="33" t="s">
        <v>124</v>
      </c>
      <c r="B30" s="33" t="s">
        <v>146</v>
      </c>
      <c r="C30" s="33" t="s">
        <v>146</v>
      </c>
      <c r="D30" s="33"/>
      <c r="E30" s="33"/>
      <c r="F30" s="33"/>
      <c r="G30" s="33"/>
      <c r="H30" s="33" t="s">
        <v>108</v>
      </c>
      <c r="I30" s="33"/>
      <c r="J30" s="33"/>
      <c r="K30" s="33" t="s">
        <v>4</v>
      </c>
      <c r="L30" s="33"/>
      <c r="M30" s="33" t="s">
        <v>100</v>
      </c>
      <c r="N30" s="33" t="s">
        <v>147</v>
      </c>
      <c r="O30" s="33"/>
      <c r="P30" s="33"/>
      <c r="Q30" s="33"/>
      <c r="R30" s="33"/>
      <c r="S30" s="33">
        <v>22</v>
      </c>
    </row>
    <row r="31" spans="1:19" x14ac:dyDescent="0.25">
      <c r="A31" s="33" t="s">
        <v>124</v>
      </c>
      <c r="B31" s="33" t="s">
        <v>148</v>
      </c>
      <c r="C31" s="33" t="s">
        <v>148</v>
      </c>
      <c r="D31" s="33"/>
      <c r="E31" s="33"/>
      <c r="F31" s="33"/>
      <c r="G31" s="33"/>
      <c r="H31" s="33" t="s">
        <v>108</v>
      </c>
      <c r="I31" s="33"/>
      <c r="J31" s="33"/>
      <c r="K31" s="33" t="s">
        <v>4</v>
      </c>
      <c r="L31" s="33"/>
      <c r="M31" s="33" t="s">
        <v>100</v>
      </c>
      <c r="N31" s="33" t="s">
        <v>149</v>
      </c>
      <c r="O31" s="33"/>
      <c r="P31" s="33"/>
      <c r="Q31" s="33"/>
      <c r="R31" s="33"/>
      <c r="S31" s="33">
        <v>25</v>
      </c>
    </row>
    <row r="32" spans="1:19" x14ac:dyDescent="0.25">
      <c r="A32" s="33" t="s">
        <v>124</v>
      </c>
      <c r="B32" s="33" t="s">
        <v>111</v>
      </c>
      <c r="C32" s="33" t="s">
        <v>111</v>
      </c>
      <c r="D32" s="33"/>
      <c r="E32" s="33"/>
      <c r="F32" s="33"/>
      <c r="G32" s="33"/>
      <c r="H32" s="33" t="s">
        <v>109</v>
      </c>
      <c r="I32" s="33">
        <v>18</v>
      </c>
      <c r="J32" s="33">
        <v>2</v>
      </c>
      <c r="K32" s="33" t="s">
        <v>4</v>
      </c>
      <c r="L32" s="33"/>
      <c r="M32" s="33"/>
      <c r="N32" s="33"/>
      <c r="O32" s="33"/>
      <c r="P32" s="33"/>
      <c r="Q32" s="33"/>
      <c r="R32" s="33"/>
      <c r="S32" s="33">
        <v>1000</v>
      </c>
    </row>
    <row r="33" spans="1:19" x14ac:dyDescent="0.25">
      <c r="A33" s="33" t="s">
        <v>124</v>
      </c>
      <c r="B33" s="33" t="s">
        <v>112</v>
      </c>
      <c r="C33" s="33" t="s">
        <v>112</v>
      </c>
      <c r="D33" s="33"/>
      <c r="E33" s="33"/>
      <c r="F33" s="33"/>
      <c r="G33" s="33"/>
      <c r="H33" s="33" t="s">
        <v>109</v>
      </c>
      <c r="I33" s="33">
        <v>18</v>
      </c>
      <c r="J33" s="33">
        <v>2</v>
      </c>
      <c r="K33" s="33" t="s">
        <v>4</v>
      </c>
      <c r="L33" s="33"/>
      <c r="M33" s="33"/>
      <c r="N33" s="33"/>
      <c r="O33" s="33"/>
      <c r="P33" s="33"/>
      <c r="Q33" s="33"/>
      <c r="R33" s="33"/>
      <c r="S33" s="33">
        <v>1001</v>
      </c>
    </row>
    <row r="34" spans="1:19" x14ac:dyDescent="0.25">
      <c r="A34" s="33" t="s">
        <v>124</v>
      </c>
      <c r="B34" s="33" t="s">
        <v>150</v>
      </c>
      <c r="C34" s="33" t="s">
        <v>160</v>
      </c>
      <c r="D34" s="33"/>
      <c r="E34" s="33"/>
      <c r="F34" s="33"/>
      <c r="G34" s="33"/>
      <c r="H34" s="33" t="s">
        <v>109</v>
      </c>
      <c r="I34" s="33">
        <v>18</v>
      </c>
      <c r="J34" s="33">
        <v>2</v>
      </c>
      <c r="K34" s="33" t="s">
        <v>4</v>
      </c>
      <c r="L34" s="33"/>
      <c r="M34" s="33"/>
      <c r="N34" s="33"/>
      <c r="O34" s="33"/>
      <c r="P34" s="33"/>
      <c r="Q34" s="33"/>
      <c r="R34" s="33"/>
      <c r="S34" s="33">
        <v>1002</v>
      </c>
    </row>
    <row r="35" spans="1:19" x14ac:dyDescent="0.25">
      <c r="A35" s="33" t="s">
        <v>126</v>
      </c>
      <c r="B35" s="33" t="s">
        <v>137</v>
      </c>
      <c r="C35" s="33" t="s">
        <v>137</v>
      </c>
      <c r="D35" s="33"/>
      <c r="E35" s="33"/>
      <c r="F35" s="33"/>
      <c r="G35" s="33"/>
      <c r="H35" s="33" t="s">
        <v>108</v>
      </c>
      <c r="I35" s="33"/>
      <c r="J35" s="33"/>
      <c r="K35" s="33" t="s">
        <v>4</v>
      </c>
      <c r="L35" s="33"/>
      <c r="M35" s="33" t="s">
        <v>100</v>
      </c>
      <c r="N35" s="33" t="s">
        <v>138</v>
      </c>
      <c r="O35" s="33"/>
      <c r="P35" s="33"/>
      <c r="Q35" s="33"/>
      <c r="R35" s="33"/>
      <c r="S35" s="33">
        <v>3</v>
      </c>
    </row>
    <row r="36" spans="1:19" x14ac:dyDescent="0.25">
      <c r="A36" s="33" t="s">
        <v>126</v>
      </c>
      <c r="B36" s="33" t="s">
        <v>116</v>
      </c>
      <c r="C36" s="33" t="s">
        <v>116</v>
      </c>
      <c r="D36" s="33"/>
      <c r="E36" s="33"/>
      <c r="F36" s="33"/>
      <c r="G36" s="33"/>
      <c r="H36" s="33" t="s">
        <v>108</v>
      </c>
      <c r="I36" s="33"/>
      <c r="J36" s="33"/>
      <c r="K36" s="33" t="s">
        <v>4</v>
      </c>
      <c r="L36" s="33"/>
      <c r="M36" s="33" t="s">
        <v>100</v>
      </c>
      <c r="N36" s="33" t="s">
        <v>142</v>
      </c>
      <c r="O36" s="33"/>
      <c r="P36" s="33"/>
      <c r="Q36" s="33"/>
      <c r="R36" s="33"/>
      <c r="S36" s="33">
        <v>12</v>
      </c>
    </row>
    <row r="37" spans="1:19" x14ac:dyDescent="0.25">
      <c r="A37" s="33" t="s">
        <v>128</v>
      </c>
      <c r="B37" s="33" t="s">
        <v>137</v>
      </c>
      <c r="C37" s="33" t="s">
        <v>137</v>
      </c>
      <c r="D37" s="33"/>
      <c r="E37" s="33"/>
      <c r="F37" s="33"/>
      <c r="G37" s="33"/>
      <c r="H37" s="33" t="s">
        <v>108</v>
      </c>
      <c r="I37" s="33"/>
      <c r="J37" s="33"/>
      <c r="K37" s="33" t="s">
        <v>4</v>
      </c>
      <c r="L37" s="33"/>
      <c r="M37" s="33" t="s">
        <v>100</v>
      </c>
      <c r="N37" s="33" t="s">
        <v>138</v>
      </c>
      <c r="O37" s="33"/>
      <c r="P37" s="33"/>
      <c r="Q37" s="33"/>
      <c r="R37" s="33"/>
      <c r="S37" s="33">
        <v>1</v>
      </c>
    </row>
    <row r="38" spans="1:19" x14ac:dyDescent="0.25">
      <c r="A38" s="33" t="s">
        <v>128</v>
      </c>
      <c r="B38" s="33" t="s">
        <v>139</v>
      </c>
      <c r="C38" s="33" t="s">
        <v>139</v>
      </c>
      <c r="D38" s="33"/>
      <c r="E38" s="33"/>
      <c r="F38" s="33"/>
      <c r="G38" s="33"/>
      <c r="H38" s="33" t="s">
        <v>108</v>
      </c>
      <c r="I38" s="33"/>
      <c r="J38" s="33"/>
      <c r="K38" s="33" t="s">
        <v>4</v>
      </c>
      <c r="L38" s="33"/>
      <c r="M38" s="33" t="s">
        <v>100</v>
      </c>
      <c r="N38" s="33" t="s">
        <v>140</v>
      </c>
      <c r="O38" s="33"/>
      <c r="P38" s="33"/>
      <c r="Q38" s="33"/>
      <c r="R38" s="33"/>
      <c r="S38" s="33">
        <v>3</v>
      </c>
    </row>
    <row r="39" spans="1:19" x14ac:dyDescent="0.25">
      <c r="A39" s="33" t="s">
        <v>128</v>
      </c>
      <c r="B39" s="33" t="s">
        <v>123</v>
      </c>
      <c r="C39" s="33" t="s">
        <v>123</v>
      </c>
      <c r="D39" s="33"/>
      <c r="E39" s="33"/>
      <c r="F39" s="33"/>
      <c r="G39" s="33"/>
      <c r="H39" s="33" t="s">
        <v>108</v>
      </c>
      <c r="I39" s="33"/>
      <c r="J39" s="33"/>
      <c r="K39" s="33" t="s">
        <v>4</v>
      </c>
      <c r="L39" s="33"/>
      <c r="M39" s="33" t="s">
        <v>100</v>
      </c>
      <c r="N39" s="33" t="s">
        <v>143</v>
      </c>
      <c r="O39" s="33"/>
      <c r="P39" s="33"/>
      <c r="Q39" s="33"/>
      <c r="R39" s="33"/>
      <c r="S39" s="33">
        <v>5</v>
      </c>
    </row>
    <row r="40" spans="1:19" x14ac:dyDescent="0.25">
      <c r="A40" s="33" t="s">
        <v>128</v>
      </c>
      <c r="B40" s="33" t="s">
        <v>117</v>
      </c>
      <c r="C40" s="33" t="s">
        <v>117</v>
      </c>
      <c r="D40" s="33"/>
      <c r="E40" s="33"/>
      <c r="F40" s="33"/>
      <c r="G40" s="33"/>
      <c r="H40" s="33" t="s">
        <v>108</v>
      </c>
      <c r="I40" s="33"/>
      <c r="J40" s="33"/>
      <c r="K40" s="33" t="s">
        <v>4</v>
      </c>
      <c r="L40" s="33"/>
      <c r="M40" s="33" t="s">
        <v>100</v>
      </c>
      <c r="N40" s="33" t="s">
        <v>145</v>
      </c>
      <c r="O40" s="33"/>
      <c r="P40" s="33"/>
      <c r="Q40" s="33"/>
      <c r="R40" s="33"/>
      <c r="S40" s="33">
        <v>7</v>
      </c>
    </row>
    <row r="41" spans="1:19" x14ac:dyDescent="0.25">
      <c r="A41" s="33" t="s">
        <v>128</v>
      </c>
      <c r="B41" s="33" t="s">
        <v>120</v>
      </c>
      <c r="C41" s="33" t="s">
        <v>120</v>
      </c>
      <c r="D41" s="33"/>
      <c r="E41" s="33"/>
      <c r="F41" s="33"/>
      <c r="G41" s="33"/>
      <c r="H41" s="33" t="s">
        <v>108</v>
      </c>
      <c r="I41" s="33"/>
      <c r="J41" s="33"/>
      <c r="K41" s="33" t="s">
        <v>4</v>
      </c>
      <c r="L41" s="33"/>
      <c r="M41" s="33" t="s">
        <v>100</v>
      </c>
      <c r="N41" s="33" t="s">
        <v>152</v>
      </c>
      <c r="O41" s="33"/>
      <c r="P41" s="33"/>
      <c r="Q41" s="33"/>
      <c r="R41" s="33"/>
      <c r="S41" s="33">
        <v>9</v>
      </c>
    </row>
    <row r="42" spans="1:19" x14ac:dyDescent="0.25">
      <c r="A42" s="33" t="s">
        <v>128</v>
      </c>
      <c r="B42" s="33" t="s">
        <v>153</v>
      </c>
      <c r="C42" s="33" t="s">
        <v>153</v>
      </c>
      <c r="D42" s="33"/>
      <c r="E42" s="33"/>
      <c r="F42" s="33"/>
      <c r="G42" s="33"/>
      <c r="H42" s="33" t="s">
        <v>108</v>
      </c>
      <c r="I42" s="33"/>
      <c r="J42" s="33"/>
      <c r="K42" s="33" t="s">
        <v>4</v>
      </c>
      <c r="L42" s="33"/>
      <c r="M42" s="33" t="s">
        <v>100</v>
      </c>
      <c r="N42" s="33" t="s">
        <v>154</v>
      </c>
      <c r="O42" s="33"/>
      <c r="P42" s="33"/>
      <c r="Q42" s="33"/>
      <c r="R42" s="33"/>
      <c r="S42" s="33">
        <v>11</v>
      </c>
    </row>
    <row r="43" spans="1:19" x14ac:dyDescent="0.25">
      <c r="A43" s="33" t="s">
        <v>128</v>
      </c>
      <c r="B43" s="33" t="s">
        <v>155</v>
      </c>
      <c r="C43" s="33" t="s">
        <v>155</v>
      </c>
      <c r="D43" s="33"/>
      <c r="E43" s="33"/>
      <c r="F43" s="33"/>
      <c r="G43" s="33"/>
      <c r="H43" s="33" t="s">
        <v>108</v>
      </c>
      <c r="I43" s="33"/>
      <c r="J43" s="33"/>
      <c r="K43" s="33" t="s">
        <v>4</v>
      </c>
      <c r="L43" s="33"/>
      <c r="M43" s="33" t="s">
        <v>100</v>
      </c>
      <c r="N43" s="33" t="s">
        <v>156</v>
      </c>
      <c r="O43" s="33"/>
      <c r="P43" s="33"/>
      <c r="Q43" s="33"/>
      <c r="R43" s="33"/>
      <c r="S43" s="33">
        <v>13</v>
      </c>
    </row>
    <row r="44" spans="1:19" x14ac:dyDescent="0.25">
      <c r="A44" s="33" t="s">
        <v>128</v>
      </c>
      <c r="B44" s="33" t="s">
        <v>157</v>
      </c>
      <c r="C44" s="33" t="s">
        <v>157</v>
      </c>
      <c r="D44" s="33"/>
      <c r="E44" s="33"/>
      <c r="F44" s="33"/>
      <c r="G44" s="33"/>
      <c r="H44" s="33" t="s">
        <v>108</v>
      </c>
      <c r="I44" s="33"/>
      <c r="J44" s="33"/>
      <c r="K44" s="33" t="s">
        <v>4</v>
      </c>
      <c r="L44" s="33"/>
      <c r="M44" s="33" t="s">
        <v>100</v>
      </c>
      <c r="N44" s="33" t="s">
        <v>158</v>
      </c>
      <c r="O44" s="33"/>
      <c r="P44" s="33"/>
      <c r="Q44" s="33"/>
      <c r="R44" s="33"/>
      <c r="S44" s="33">
        <v>15</v>
      </c>
    </row>
    <row r="45" spans="1:19" x14ac:dyDescent="0.25">
      <c r="A45" s="33" t="s">
        <v>128</v>
      </c>
      <c r="B45" s="33" t="s">
        <v>118</v>
      </c>
      <c r="C45" s="33" t="s">
        <v>118</v>
      </c>
      <c r="D45" s="33"/>
      <c r="E45" s="33"/>
      <c r="F45" s="33"/>
      <c r="G45" s="33"/>
      <c r="H45" s="33" t="s">
        <v>108</v>
      </c>
      <c r="I45" s="33"/>
      <c r="J45" s="33"/>
      <c r="K45" s="33" t="s">
        <v>4</v>
      </c>
      <c r="L45" s="33"/>
      <c r="M45" s="33" t="s">
        <v>100</v>
      </c>
      <c r="N45" s="33" t="s">
        <v>159</v>
      </c>
      <c r="O45" s="33"/>
      <c r="P45" s="33"/>
      <c r="Q45" s="33"/>
      <c r="R45" s="33"/>
      <c r="S45" s="33">
        <v>17</v>
      </c>
    </row>
    <row r="46" spans="1:19" x14ac:dyDescent="0.25">
      <c r="A46" s="33" t="s">
        <v>128</v>
      </c>
      <c r="B46" s="33" t="s">
        <v>146</v>
      </c>
      <c r="C46" s="33" t="s">
        <v>146</v>
      </c>
      <c r="D46" s="33"/>
      <c r="E46" s="33"/>
      <c r="F46" s="33"/>
      <c r="G46" s="33"/>
      <c r="H46" s="33" t="s">
        <v>108</v>
      </c>
      <c r="I46" s="33"/>
      <c r="J46" s="33"/>
      <c r="K46" s="33" t="s">
        <v>4</v>
      </c>
      <c r="L46" s="33"/>
      <c r="M46" s="33" t="s">
        <v>100</v>
      </c>
      <c r="N46" s="33" t="s">
        <v>147</v>
      </c>
      <c r="O46" s="33"/>
      <c r="P46" s="33"/>
      <c r="Q46" s="33"/>
      <c r="R46" s="33"/>
      <c r="S46" s="33">
        <v>19</v>
      </c>
    </row>
    <row r="47" spans="1:19" x14ac:dyDescent="0.25">
      <c r="A47" s="33" t="s">
        <v>128</v>
      </c>
      <c r="B47" s="33" t="s">
        <v>148</v>
      </c>
      <c r="C47" s="33" t="s">
        <v>148</v>
      </c>
      <c r="D47" s="33"/>
      <c r="E47" s="33"/>
      <c r="F47" s="33"/>
      <c r="G47" s="33"/>
      <c r="H47" s="33" t="s">
        <v>108</v>
      </c>
      <c r="I47" s="33"/>
      <c r="J47" s="33"/>
      <c r="K47" s="33" t="s">
        <v>4</v>
      </c>
      <c r="L47" s="33"/>
      <c r="M47" s="33" t="s">
        <v>100</v>
      </c>
      <c r="N47" s="33" t="s">
        <v>149</v>
      </c>
      <c r="O47" s="33"/>
      <c r="P47" s="33"/>
      <c r="Q47" s="33"/>
      <c r="R47" s="33"/>
      <c r="S47" s="33">
        <v>21</v>
      </c>
    </row>
    <row r="48" spans="1:19" x14ac:dyDescent="0.25">
      <c r="A48" s="33" t="s">
        <v>128</v>
      </c>
      <c r="B48" s="33" t="s">
        <v>114</v>
      </c>
      <c r="C48" s="33" t="s">
        <v>114</v>
      </c>
      <c r="D48" s="33"/>
      <c r="E48" s="33"/>
      <c r="F48" s="33"/>
      <c r="G48" s="33"/>
      <c r="H48" s="33" t="s">
        <v>109</v>
      </c>
      <c r="I48" s="33">
        <v>18</v>
      </c>
      <c r="J48" s="33">
        <v>2</v>
      </c>
      <c r="K48" s="33" t="s">
        <v>4</v>
      </c>
      <c r="L48" s="33"/>
      <c r="M48" s="33"/>
      <c r="N48" s="33"/>
      <c r="O48" s="33"/>
      <c r="P48" s="33"/>
      <c r="Q48" s="33"/>
      <c r="R48" s="33"/>
      <c r="S48" s="33">
        <v>1001</v>
      </c>
    </row>
    <row r="49" spans="1:19" x14ac:dyDescent="0.25">
      <c r="A49" s="33" t="s">
        <v>128</v>
      </c>
      <c r="B49" s="33" t="s">
        <v>115</v>
      </c>
      <c r="C49" s="33" t="s">
        <v>115</v>
      </c>
      <c r="D49" s="33"/>
      <c r="E49" s="33"/>
      <c r="F49" s="33"/>
      <c r="G49" s="33"/>
      <c r="H49" s="33" t="s">
        <v>109</v>
      </c>
      <c r="I49" s="33">
        <v>18</v>
      </c>
      <c r="J49" s="33">
        <v>2</v>
      </c>
      <c r="K49" s="33" t="s">
        <v>4</v>
      </c>
      <c r="L49" s="33"/>
      <c r="M49" s="33"/>
      <c r="N49" s="33"/>
      <c r="O49" s="33"/>
      <c r="P49" s="33"/>
      <c r="Q49" s="33"/>
      <c r="R49" s="33"/>
      <c r="S49" s="33">
        <v>1002</v>
      </c>
    </row>
    <row r="50" spans="1:19" x14ac:dyDescent="0.25">
      <c r="A50" s="33" t="s">
        <v>129</v>
      </c>
      <c r="B50" s="33" t="s">
        <v>137</v>
      </c>
      <c r="C50" s="33" t="s">
        <v>137</v>
      </c>
      <c r="D50" s="33"/>
      <c r="E50" s="33"/>
      <c r="F50" s="33"/>
      <c r="G50" s="33"/>
      <c r="H50" s="33" t="s">
        <v>108</v>
      </c>
      <c r="I50" s="33"/>
      <c r="J50" s="33"/>
      <c r="K50" s="33" t="s">
        <v>4</v>
      </c>
      <c r="L50" s="33"/>
      <c r="M50" s="33" t="s">
        <v>100</v>
      </c>
      <c r="N50" s="33" t="s">
        <v>138</v>
      </c>
      <c r="O50" s="33"/>
      <c r="P50" s="33"/>
      <c r="Q50" s="33"/>
      <c r="R50" s="33"/>
      <c r="S50" s="33">
        <v>2</v>
      </c>
    </row>
    <row r="51" spans="1:19" x14ac:dyDescent="0.25">
      <c r="A51" s="33" t="s">
        <v>129</v>
      </c>
      <c r="B51" s="33" t="s">
        <v>123</v>
      </c>
      <c r="C51" s="33" t="s">
        <v>123</v>
      </c>
      <c r="D51" s="33"/>
      <c r="E51" s="33"/>
      <c r="F51" s="33"/>
      <c r="G51" s="33"/>
      <c r="H51" s="33" t="s">
        <v>108</v>
      </c>
      <c r="I51" s="33"/>
      <c r="J51" s="33"/>
      <c r="K51" s="33" t="s">
        <v>4</v>
      </c>
      <c r="L51" s="33"/>
      <c r="M51" s="33" t="s">
        <v>100</v>
      </c>
      <c r="N51" s="33" t="s">
        <v>143</v>
      </c>
      <c r="O51" s="33"/>
      <c r="P51" s="33"/>
      <c r="Q51" s="33"/>
      <c r="R51" s="33"/>
      <c r="S51" s="33">
        <v>6</v>
      </c>
    </row>
    <row r="52" spans="1:19" x14ac:dyDescent="0.25">
      <c r="A52" s="33" t="s">
        <v>129</v>
      </c>
      <c r="B52" s="33" t="s">
        <v>118</v>
      </c>
      <c r="C52" s="33" t="s">
        <v>118</v>
      </c>
      <c r="D52" s="33"/>
      <c r="E52" s="33"/>
      <c r="F52" s="33"/>
      <c r="G52" s="33"/>
      <c r="H52" s="33" t="s">
        <v>108</v>
      </c>
      <c r="I52" s="33"/>
      <c r="J52" s="33"/>
      <c r="K52" s="33" t="s">
        <v>4</v>
      </c>
      <c r="L52" s="33"/>
      <c r="M52" s="33" t="s">
        <v>100</v>
      </c>
      <c r="N52" s="33" t="s">
        <v>159</v>
      </c>
      <c r="O52" s="33"/>
      <c r="P52" s="33"/>
      <c r="Q52" s="33"/>
      <c r="R52" s="33"/>
      <c r="S52" s="33">
        <v>18</v>
      </c>
    </row>
    <row r="53" spans="1:19" x14ac:dyDescent="0.25">
      <c r="A53" s="33" t="s">
        <v>129</v>
      </c>
      <c r="B53" s="33" t="s">
        <v>146</v>
      </c>
      <c r="C53" s="33" t="s">
        <v>146</v>
      </c>
      <c r="D53" s="33"/>
      <c r="E53" s="33"/>
      <c r="F53" s="33"/>
      <c r="G53" s="33"/>
      <c r="H53" s="33" t="s">
        <v>108</v>
      </c>
      <c r="I53" s="33"/>
      <c r="J53" s="33"/>
      <c r="K53" s="33" t="s">
        <v>4</v>
      </c>
      <c r="L53" s="33"/>
      <c r="M53" s="33" t="s">
        <v>100</v>
      </c>
      <c r="N53" s="33" t="s">
        <v>147</v>
      </c>
      <c r="O53" s="33"/>
      <c r="P53" s="33"/>
      <c r="Q53" s="33"/>
      <c r="R53" s="33"/>
      <c r="S53" s="33">
        <v>20</v>
      </c>
    </row>
    <row r="54" spans="1:19" x14ac:dyDescent="0.25">
      <c r="A54" s="33" t="s">
        <v>129</v>
      </c>
      <c r="B54" s="33" t="s">
        <v>148</v>
      </c>
      <c r="C54" s="33" t="s">
        <v>148</v>
      </c>
      <c r="D54" s="33"/>
      <c r="E54" s="33"/>
      <c r="F54" s="33"/>
      <c r="G54" s="33"/>
      <c r="H54" s="33" t="s">
        <v>108</v>
      </c>
      <c r="I54" s="33"/>
      <c r="J54" s="33"/>
      <c r="K54" s="33" t="s">
        <v>4</v>
      </c>
      <c r="L54" s="33"/>
      <c r="M54" s="33" t="s">
        <v>100</v>
      </c>
      <c r="N54" s="33" t="s">
        <v>149</v>
      </c>
      <c r="O54" s="33"/>
      <c r="P54" s="33"/>
      <c r="Q54" s="33"/>
      <c r="R54" s="33"/>
      <c r="S54" s="33">
        <v>22</v>
      </c>
    </row>
    <row r="55" spans="1:19" x14ac:dyDescent="0.25">
      <c r="A55" s="33" t="s">
        <v>129</v>
      </c>
      <c r="B55" s="33" t="s">
        <v>114</v>
      </c>
      <c r="C55" s="33" t="s">
        <v>114</v>
      </c>
      <c r="D55" s="33"/>
      <c r="E55" s="33"/>
      <c r="F55" s="33"/>
      <c r="G55" s="33"/>
      <c r="H55" s="33" t="s">
        <v>109</v>
      </c>
      <c r="I55" s="33">
        <v>18</v>
      </c>
      <c r="J55" s="33">
        <v>2</v>
      </c>
      <c r="K55" s="33" t="s">
        <v>4</v>
      </c>
      <c r="L55" s="33"/>
      <c r="M55" s="33"/>
      <c r="N55" s="33"/>
      <c r="O55" s="33"/>
      <c r="P55" s="33"/>
      <c r="Q55" s="33"/>
      <c r="R55" s="33"/>
      <c r="S55" s="33">
        <v>1008</v>
      </c>
    </row>
    <row r="56" spans="1:19" x14ac:dyDescent="0.25">
      <c r="A56" s="33" t="s">
        <v>129</v>
      </c>
      <c r="B56" s="33" t="s">
        <v>115</v>
      </c>
      <c r="C56" s="33" t="s">
        <v>115</v>
      </c>
      <c r="D56" s="33"/>
      <c r="E56" s="33"/>
      <c r="F56" s="33"/>
      <c r="G56" s="33"/>
      <c r="H56" s="33" t="s">
        <v>109</v>
      </c>
      <c r="I56" s="33">
        <v>18</v>
      </c>
      <c r="J56" s="33">
        <v>2</v>
      </c>
      <c r="K56" s="33" t="s">
        <v>4</v>
      </c>
      <c r="L56" s="33"/>
      <c r="M56" s="33"/>
      <c r="N56" s="33"/>
      <c r="O56" s="33"/>
      <c r="P56" s="33"/>
      <c r="Q56" s="33"/>
      <c r="R56" s="33"/>
      <c r="S56" s="33">
        <v>1009</v>
      </c>
    </row>
    <row r="57" spans="1:19" x14ac:dyDescent="0.25">
      <c r="A57" s="33" t="s">
        <v>129</v>
      </c>
      <c r="B57" s="33" t="s">
        <v>133</v>
      </c>
      <c r="C57" s="33" t="s">
        <v>133</v>
      </c>
      <c r="D57" s="33"/>
      <c r="E57" s="33"/>
      <c r="F57" s="33"/>
      <c r="G57" s="33"/>
      <c r="H57" s="33" t="s">
        <v>109</v>
      </c>
      <c r="I57" s="33">
        <v>18</v>
      </c>
      <c r="J57" s="33">
        <v>2</v>
      </c>
      <c r="K57" s="33" t="s">
        <v>4</v>
      </c>
      <c r="L57" s="33"/>
      <c r="M57" s="33"/>
      <c r="N57" s="33"/>
      <c r="O57" s="33"/>
      <c r="P57" s="33"/>
      <c r="Q57" s="33"/>
      <c r="R57" s="33"/>
      <c r="S57" s="33">
        <v>1010</v>
      </c>
    </row>
    <row r="58" spans="1:19" x14ac:dyDescent="0.25">
      <c r="A58" s="33" t="s">
        <v>129</v>
      </c>
      <c r="B58" s="33" t="s">
        <v>134</v>
      </c>
      <c r="C58" s="33" t="s">
        <v>134</v>
      </c>
      <c r="D58" s="33"/>
      <c r="E58" s="33"/>
      <c r="F58" s="33"/>
      <c r="G58" s="33"/>
      <c r="H58" s="33" t="s">
        <v>109</v>
      </c>
      <c r="I58" s="33">
        <v>18</v>
      </c>
      <c r="J58" s="33">
        <v>2</v>
      </c>
      <c r="K58" s="33" t="s">
        <v>4</v>
      </c>
      <c r="L58" s="33"/>
      <c r="M58" s="33"/>
      <c r="N58" s="33"/>
      <c r="O58" s="33"/>
      <c r="P58" s="33"/>
      <c r="Q58" s="33"/>
      <c r="R58" s="33"/>
      <c r="S58" s="33">
        <v>1011</v>
      </c>
    </row>
    <row r="59" spans="1:19" x14ac:dyDescent="0.25">
      <c r="A59" s="33" t="s">
        <v>129</v>
      </c>
      <c r="B59" s="33" t="s">
        <v>135</v>
      </c>
      <c r="C59" s="33" t="s">
        <v>135</v>
      </c>
      <c r="D59" s="33"/>
      <c r="E59" s="33"/>
      <c r="F59" s="33"/>
      <c r="G59" s="33"/>
      <c r="H59" s="33" t="s">
        <v>109</v>
      </c>
      <c r="I59" s="33">
        <v>18</v>
      </c>
      <c r="J59" s="33">
        <v>2</v>
      </c>
      <c r="K59" s="33" t="s">
        <v>4</v>
      </c>
      <c r="L59" s="33"/>
      <c r="M59" s="33"/>
      <c r="N59" s="33"/>
      <c r="O59" s="33"/>
      <c r="P59" s="33"/>
      <c r="Q59" s="33"/>
      <c r="R59" s="33"/>
      <c r="S59" s="33">
        <v>1012</v>
      </c>
    </row>
    <row r="60" spans="1:19" x14ac:dyDescent="0.25">
      <c r="A60" s="33" t="s">
        <v>129</v>
      </c>
      <c r="B60" s="33" t="s">
        <v>136</v>
      </c>
      <c r="C60" s="33" t="s">
        <v>136</v>
      </c>
      <c r="D60" s="33"/>
      <c r="E60" s="33"/>
      <c r="F60" s="33"/>
      <c r="G60" s="33"/>
      <c r="H60" s="33" t="s">
        <v>109</v>
      </c>
      <c r="I60" s="33">
        <v>18</v>
      </c>
      <c r="J60" s="33">
        <v>2</v>
      </c>
      <c r="K60" s="33" t="s">
        <v>4</v>
      </c>
      <c r="L60" s="33"/>
      <c r="M60" s="33"/>
      <c r="N60" s="33"/>
      <c r="O60" s="33"/>
      <c r="P60" s="33"/>
      <c r="Q60" s="33"/>
      <c r="R60" s="33"/>
      <c r="S60" s="33">
        <v>1013</v>
      </c>
    </row>
  </sheetData>
  <autoFilter ref="A2:S3"/>
  <sortState ref="A3:S60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17" bestFit="1" customWidth="1"/>
    <col min="2" max="2" width="24.140625" style="17" customWidth="1"/>
    <col min="3" max="3" width="22.7109375" style="17" customWidth="1"/>
    <col min="4" max="4" width="32.28515625" style="17" customWidth="1"/>
    <col min="5" max="5" width="12.140625" style="17" bestFit="1" customWidth="1"/>
    <col min="6" max="6" width="18.140625" style="17" bestFit="1" customWidth="1"/>
    <col min="7" max="7" width="13.85546875" style="17" bestFit="1" customWidth="1"/>
    <col min="8" max="8" width="10.5703125" style="17" bestFit="1" customWidth="1"/>
    <col min="9" max="9" width="12.7109375" style="17" bestFit="1" customWidth="1"/>
    <col min="10" max="10" width="8.42578125" style="17" bestFit="1" customWidth="1"/>
    <col min="11" max="11" width="8.140625" style="17" bestFit="1" customWidth="1"/>
    <col min="12" max="12" width="7.28515625" style="17" bestFit="1" customWidth="1"/>
    <col min="13" max="13" width="4.5703125" style="17" bestFit="1" customWidth="1"/>
    <col min="14" max="14" width="48.140625" style="17" customWidth="1"/>
    <col min="15" max="15" width="5.5703125" style="17" bestFit="1" customWidth="1"/>
    <col min="16" max="16" width="7.140625" style="17" bestFit="1" customWidth="1"/>
    <col min="17" max="17" width="15" style="17" bestFit="1" customWidth="1"/>
    <col min="18" max="19" width="25.7109375" style="17" customWidth="1"/>
    <col min="20" max="16384" width="9.140625" style="17"/>
  </cols>
  <sheetData>
    <row r="1" spans="1:19" ht="12.75" customHeight="1" x14ac:dyDescent="0.25">
      <c r="A1" s="21"/>
      <c r="B1" s="20"/>
      <c r="C1" s="20"/>
      <c r="D1" s="20"/>
      <c r="E1" s="20"/>
      <c r="F1" s="19"/>
      <c r="G1" s="19"/>
      <c r="H1" s="20"/>
      <c r="I1" s="29"/>
      <c r="J1" s="104" t="s">
        <v>17</v>
      </c>
      <c r="K1" s="104"/>
      <c r="L1" s="104"/>
      <c r="M1" s="104"/>
      <c r="N1" s="104"/>
      <c r="O1" s="104"/>
      <c r="P1" s="104"/>
      <c r="Q1" s="104"/>
      <c r="R1" s="21"/>
      <c r="S1" s="21"/>
    </row>
    <row r="2" spans="1:19" s="24" customFormat="1" ht="22.5" x14ac:dyDescent="0.25">
      <c r="A2" s="30" t="s">
        <v>34</v>
      </c>
      <c r="B2" s="31" t="s">
        <v>18</v>
      </c>
      <c r="C2" s="31" t="s">
        <v>19</v>
      </c>
      <c r="D2" s="31" t="s">
        <v>20</v>
      </c>
      <c r="E2" s="31" t="s">
        <v>21</v>
      </c>
      <c r="F2" s="31" t="s">
        <v>22</v>
      </c>
      <c r="G2" s="31" t="s">
        <v>23</v>
      </c>
      <c r="H2" s="31" t="s">
        <v>24</v>
      </c>
      <c r="I2" s="31" t="s">
        <v>25</v>
      </c>
      <c r="J2" s="32" t="s">
        <v>26</v>
      </c>
      <c r="K2" s="32" t="s">
        <v>27</v>
      </c>
      <c r="L2" s="32" t="s">
        <v>28</v>
      </c>
      <c r="M2" s="32" t="s">
        <v>29</v>
      </c>
      <c r="N2" s="32" t="s">
        <v>30</v>
      </c>
      <c r="O2" s="32" t="s">
        <v>31</v>
      </c>
      <c r="P2" s="32" t="s">
        <v>98</v>
      </c>
      <c r="Q2" s="31" t="s">
        <v>32</v>
      </c>
      <c r="R2" s="31" t="s">
        <v>41</v>
      </c>
      <c r="S2" s="32" t="s">
        <v>42</v>
      </c>
    </row>
    <row r="3" spans="1:19" s="18" customFormat="1" ht="11.25" x14ac:dyDescent="0.25">
      <c r="A3" s="33" t="s">
        <v>91</v>
      </c>
      <c r="B3" s="33" t="s">
        <v>77</v>
      </c>
      <c r="C3" s="33" t="s">
        <v>77</v>
      </c>
      <c r="D3" s="33"/>
      <c r="E3" s="33" t="s">
        <v>78</v>
      </c>
      <c r="F3" s="33"/>
      <c r="G3" s="33">
        <v>2</v>
      </c>
      <c r="H3" s="33"/>
      <c r="I3" s="33"/>
      <c r="J3" s="33" t="s">
        <v>79</v>
      </c>
      <c r="K3" s="33">
        <v>255</v>
      </c>
      <c r="L3" s="33"/>
      <c r="M3" s="33"/>
      <c r="N3" s="33"/>
      <c r="O3" s="33" t="s">
        <v>4</v>
      </c>
      <c r="P3" s="33"/>
      <c r="Q3" s="33"/>
      <c r="R3" s="33"/>
      <c r="S3" s="33"/>
    </row>
    <row r="4" spans="1:19" s="18" customFormat="1" ht="11.25" x14ac:dyDescent="0.25">
      <c r="A4" s="33" t="s">
        <v>91</v>
      </c>
      <c r="B4" s="33" t="s">
        <v>80</v>
      </c>
      <c r="C4" s="33" t="s">
        <v>80</v>
      </c>
      <c r="D4" s="33"/>
      <c r="E4" s="33" t="s">
        <v>78</v>
      </c>
      <c r="F4" s="33"/>
      <c r="G4" s="33">
        <v>2</v>
      </c>
      <c r="H4" s="33"/>
      <c r="I4" s="33"/>
      <c r="J4" s="33" t="s">
        <v>79</v>
      </c>
      <c r="K4" s="33">
        <v>50</v>
      </c>
      <c r="L4" s="33"/>
      <c r="M4" s="33"/>
      <c r="N4" s="33"/>
      <c r="O4" s="33" t="s">
        <v>4</v>
      </c>
      <c r="P4" s="33"/>
      <c r="Q4" s="33"/>
      <c r="R4" s="33"/>
      <c r="S4" s="33"/>
    </row>
    <row r="5" spans="1:19" s="18" customFormat="1" ht="11.25" x14ac:dyDescent="0.25">
      <c r="A5" s="33" t="s">
        <v>91</v>
      </c>
      <c r="B5" s="33" t="s">
        <v>99</v>
      </c>
      <c r="C5" s="33" t="s">
        <v>99</v>
      </c>
      <c r="D5" s="33"/>
      <c r="E5" s="33" t="s">
        <v>78</v>
      </c>
      <c r="F5" s="33"/>
      <c r="G5" s="33" t="s">
        <v>103</v>
      </c>
      <c r="H5" s="33"/>
      <c r="I5" s="33"/>
      <c r="J5" s="33" t="s">
        <v>79</v>
      </c>
      <c r="K5" s="33">
        <v>255</v>
      </c>
      <c r="L5" s="33"/>
      <c r="M5" s="33"/>
      <c r="N5" s="33"/>
      <c r="O5" s="33" t="s">
        <v>4</v>
      </c>
      <c r="P5" s="33" t="s">
        <v>44</v>
      </c>
      <c r="Q5" s="33"/>
      <c r="R5" s="33"/>
      <c r="S5" s="33"/>
    </row>
    <row r="6" spans="1:19" s="18" customFormat="1" ht="11.25" x14ac:dyDescent="0.25">
      <c r="A6" s="33" t="s">
        <v>91</v>
      </c>
      <c r="B6" s="33" t="s">
        <v>81</v>
      </c>
      <c r="C6" s="33" t="s">
        <v>81</v>
      </c>
      <c r="D6" s="33"/>
      <c r="E6" s="33" t="s">
        <v>78</v>
      </c>
      <c r="F6" s="33"/>
      <c r="G6" s="33" t="s">
        <v>104</v>
      </c>
      <c r="H6" s="33"/>
      <c r="I6" s="33"/>
      <c r="J6" s="33" t="s">
        <v>82</v>
      </c>
      <c r="K6" s="33"/>
      <c r="L6" s="33"/>
      <c r="M6" s="33"/>
      <c r="N6" s="33"/>
      <c r="O6" s="33" t="s">
        <v>4</v>
      </c>
      <c r="P6" s="33"/>
      <c r="Q6" s="33"/>
      <c r="R6" s="33"/>
      <c r="S6" s="33"/>
    </row>
    <row r="7" spans="1:19" s="18" customFormat="1" ht="11.25" x14ac:dyDescent="0.25">
      <c r="A7" s="33" t="s">
        <v>91</v>
      </c>
      <c r="B7" s="33" t="s">
        <v>83</v>
      </c>
      <c r="C7" s="33" t="s">
        <v>83</v>
      </c>
      <c r="D7" s="33"/>
      <c r="E7" s="33" t="s">
        <v>78</v>
      </c>
      <c r="F7" s="33"/>
      <c r="G7" s="33" t="s">
        <v>83</v>
      </c>
      <c r="H7" s="33"/>
      <c r="I7" s="33"/>
      <c r="J7" s="33" t="s">
        <v>82</v>
      </c>
      <c r="K7" s="33"/>
      <c r="L7" s="33"/>
      <c r="M7" s="33"/>
      <c r="N7" s="33"/>
      <c r="O7" s="33" t="s">
        <v>4</v>
      </c>
      <c r="P7" s="33"/>
      <c r="Q7" s="33"/>
      <c r="R7" s="33"/>
      <c r="S7" s="33"/>
    </row>
    <row r="8" spans="1:19" s="18" customFormat="1" ht="11.25" x14ac:dyDescent="0.25">
      <c r="A8" s="33" t="s">
        <v>91</v>
      </c>
      <c r="B8" s="33" t="s">
        <v>84</v>
      </c>
      <c r="C8" s="33" t="s">
        <v>84</v>
      </c>
      <c r="D8" s="33"/>
      <c r="E8" s="33" t="s">
        <v>78</v>
      </c>
      <c r="F8" s="33"/>
      <c r="G8" s="33"/>
      <c r="H8" s="33"/>
      <c r="I8" s="33"/>
      <c r="J8" s="33" t="s">
        <v>79</v>
      </c>
      <c r="K8" s="33">
        <v>255</v>
      </c>
      <c r="L8" s="33"/>
      <c r="M8" s="33"/>
      <c r="N8" s="33"/>
      <c r="O8" s="33" t="s">
        <v>4</v>
      </c>
      <c r="P8" s="33"/>
      <c r="Q8" s="33" t="s">
        <v>85</v>
      </c>
      <c r="R8" s="33"/>
      <c r="S8" s="33"/>
    </row>
    <row r="9" spans="1:19" s="18" customFormat="1" ht="11.25" x14ac:dyDescent="0.25">
      <c r="A9" s="33" t="s">
        <v>91</v>
      </c>
      <c r="B9" s="33" t="s">
        <v>86</v>
      </c>
      <c r="C9" s="33" t="s">
        <v>86</v>
      </c>
      <c r="D9" s="33"/>
      <c r="E9" s="33" t="s">
        <v>78</v>
      </c>
      <c r="F9" s="33"/>
      <c r="G9" s="33"/>
      <c r="H9" s="33"/>
      <c r="I9" s="33"/>
      <c r="J9" s="33" t="s">
        <v>87</v>
      </c>
      <c r="K9" s="33"/>
      <c r="L9" s="33"/>
      <c r="M9" s="33"/>
      <c r="N9" s="33"/>
      <c r="O9" s="33" t="s">
        <v>4</v>
      </c>
      <c r="P9" s="33"/>
      <c r="Q9" s="33" t="s">
        <v>88</v>
      </c>
      <c r="R9" s="33"/>
      <c r="S9" s="33"/>
    </row>
    <row r="10" spans="1:19" s="18" customFormat="1" ht="11.25" x14ac:dyDescent="0.25">
      <c r="A10" s="33" t="s">
        <v>91</v>
      </c>
      <c r="B10" s="33" t="s">
        <v>89</v>
      </c>
      <c r="C10" s="33" t="s">
        <v>89</v>
      </c>
      <c r="D10" s="33"/>
      <c r="E10" s="33" t="s">
        <v>78</v>
      </c>
      <c r="F10" s="33"/>
      <c r="G10" s="33"/>
      <c r="H10" s="33"/>
      <c r="I10" s="33"/>
      <c r="J10" s="33" t="s">
        <v>79</v>
      </c>
      <c r="K10" s="33">
        <v>255</v>
      </c>
      <c r="L10" s="33"/>
      <c r="M10" s="33"/>
      <c r="N10" s="33"/>
      <c r="O10" s="33" t="s">
        <v>4</v>
      </c>
      <c r="P10" s="33"/>
      <c r="Q10" s="33" t="s">
        <v>85</v>
      </c>
      <c r="R10" s="33"/>
      <c r="S10" s="33"/>
    </row>
    <row r="11" spans="1:19" s="18" customFormat="1" ht="11.25" x14ac:dyDescent="0.25">
      <c r="A11" s="33" t="s">
        <v>91</v>
      </c>
      <c r="B11" s="33" t="s">
        <v>90</v>
      </c>
      <c r="C11" s="33" t="s">
        <v>90</v>
      </c>
      <c r="D11" s="33"/>
      <c r="E11" s="33" t="s">
        <v>78</v>
      </c>
      <c r="F11" s="33"/>
      <c r="G11" s="33"/>
      <c r="H11" s="33"/>
      <c r="I11" s="33"/>
      <c r="J11" s="33" t="s">
        <v>87</v>
      </c>
      <c r="K11" s="33"/>
      <c r="L11" s="33"/>
      <c r="M11" s="33"/>
      <c r="N11" s="33"/>
      <c r="O11" s="33" t="s">
        <v>4</v>
      </c>
      <c r="P11" s="33"/>
      <c r="Q11" s="33" t="s">
        <v>88</v>
      </c>
      <c r="R11" s="33"/>
      <c r="S11" s="33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5"/>
  <sheetViews>
    <sheetView showGridLines="0" zoomScaleNormal="100" workbookViewId="0">
      <selection activeCell="AC3" sqref="AC3"/>
    </sheetView>
  </sheetViews>
  <sheetFormatPr defaultRowHeight="15" x14ac:dyDescent="0.25"/>
  <cols>
    <col min="1" max="1" width="41.7109375" style="8" customWidth="1"/>
    <col min="2" max="26" width="3.7109375" customWidth="1"/>
    <col min="31" max="31" width="16.85546875" bestFit="1" customWidth="1"/>
  </cols>
  <sheetData>
    <row r="1" spans="1:31" s="1" customFormat="1" x14ac:dyDescent="0.25">
      <c r="A1" s="93" t="s">
        <v>130</v>
      </c>
    </row>
    <row r="2" spans="1:31" s="3" customFormat="1" ht="26.25" customHeight="1" x14ac:dyDescent="0.25">
      <c r="A2" s="68"/>
      <c r="B2" s="69"/>
      <c r="C2" s="69"/>
      <c r="D2" s="69"/>
      <c r="E2" s="69"/>
      <c r="F2" s="69"/>
      <c r="G2" s="69"/>
      <c r="H2" s="70"/>
      <c r="I2" s="70"/>
      <c r="J2" s="70"/>
      <c r="K2" s="70"/>
      <c r="L2" s="70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31" s="13" customFormat="1" ht="111" customHeight="1" x14ac:dyDescent="0.25">
      <c r="A3" s="68" t="s">
        <v>0</v>
      </c>
      <c r="B3" s="71" t="s">
        <v>1</v>
      </c>
      <c r="C3" s="71" t="s">
        <v>2</v>
      </c>
      <c r="D3" s="72" t="s">
        <v>13</v>
      </c>
      <c r="E3" s="71"/>
      <c r="F3" s="73"/>
      <c r="G3" s="74"/>
      <c r="H3" s="75"/>
      <c r="I3" s="74"/>
      <c r="J3" s="76"/>
      <c r="K3" s="76"/>
      <c r="L3" s="76"/>
      <c r="M3" s="76"/>
      <c r="N3" s="76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31" s="3" customFormat="1" x14ac:dyDescent="0.25">
      <c r="A4" s="11" t="s">
        <v>162</v>
      </c>
      <c r="B4" s="4" t="s">
        <v>5</v>
      </c>
      <c r="C4" s="4" t="s">
        <v>5</v>
      </c>
      <c r="D4" s="4" t="s">
        <v>5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2"/>
      <c r="R4" s="2"/>
      <c r="S4" s="2"/>
      <c r="T4" s="2"/>
      <c r="U4" s="2"/>
      <c r="V4" s="2"/>
      <c r="W4" s="2"/>
      <c r="X4" s="2"/>
      <c r="Y4" s="2"/>
      <c r="Z4" s="2"/>
    </row>
    <row r="5" spans="1:31" x14ac:dyDescent="0.25">
      <c r="A5" s="11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  <c r="Z5" s="5"/>
    </row>
    <row r="6" spans="1:31" x14ac:dyDescent="0.25">
      <c r="A6" s="10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5"/>
      <c r="T6" s="5"/>
      <c r="U6" s="5"/>
      <c r="V6" s="5"/>
      <c r="W6" s="5"/>
      <c r="X6" s="5"/>
      <c r="Y6" s="5"/>
      <c r="Z6" s="5"/>
    </row>
    <row r="7" spans="1:31" x14ac:dyDescent="0.25">
      <c r="A7" s="10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8"/>
      <c r="T7" s="78"/>
      <c r="U7" s="78"/>
      <c r="V7" s="78"/>
      <c r="W7" s="78"/>
      <c r="X7" s="78"/>
      <c r="Y7" s="78"/>
      <c r="Z7" s="78"/>
    </row>
    <row r="8" spans="1:31" x14ac:dyDescent="0.25">
      <c r="A8" s="10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</row>
    <row r="9" spans="1:31" x14ac:dyDescent="0.25">
      <c r="A9" s="10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</row>
    <row r="10" spans="1:31" x14ac:dyDescent="0.25">
      <c r="A10" s="10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</row>
    <row r="11" spans="1:31" x14ac:dyDescent="0.25">
      <c r="A11" s="10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</row>
    <row r="12" spans="1:31" x14ac:dyDescent="0.25">
      <c r="A12" s="10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</row>
    <row r="13" spans="1:31" x14ac:dyDescent="0.25">
      <c r="A13" s="9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E13" s="6"/>
    </row>
    <row r="14" spans="1:31" x14ac:dyDescent="0.25">
      <c r="A14" s="9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</row>
    <row r="16" spans="1:31" s="16" customFormat="1" ht="78" thickBot="1" x14ac:dyDescent="0.25">
      <c r="A16" s="79" t="s">
        <v>3</v>
      </c>
      <c r="B16" s="80" t="str">
        <f>A4</f>
        <v>Sales</v>
      </c>
      <c r="C16" s="80">
        <f>A5</f>
        <v>0</v>
      </c>
      <c r="D16" s="80">
        <f>A6</f>
        <v>0</v>
      </c>
      <c r="E16" s="81"/>
      <c r="F16" s="81"/>
      <c r="G16" s="81"/>
      <c r="H16" s="81"/>
      <c r="I16" s="81"/>
      <c r="J16" s="82"/>
      <c r="K16" s="82"/>
      <c r="L16" s="82"/>
      <c r="M16" s="82"/>
      <c r="N16" s="82"/>
      <c r="O16" s="14"/>
      <c r="P16" s="15"/>
    </row>
    <row r="17" spans="1:15" x14ac:dyDescent="0.25">
      <c r="A17" s="83" t="s">
        <v>161</v>
      </c>
      <c r="B17" s="84" t="s">
        <v>5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5"/>
      <c r="O17" s="7"/>
    </row>
    <row r="18" spans="1:15" x14ac:dyDescent="0.25">
      <c r="A18" s="86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87"/>
      <c r="O18" s="7"/>
    </row>
    <row r="19" spans="1:15" x14ac:dyDescent="0.25">
      <c r="A19" s="86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87"/>
      <c r="O19" s="7"/>
    </row>
    <row r="20" spans="1:15" x14ac:dyDescent="0.25">
      <c r="A20" s="86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87"/>
      <c r="O20" s="7"/>
    </row>
    <row r="21" spans="1:15" x14ac:dyDescent="0.25">
      <c r="A21" s="86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87"/>
      <c r="O21" s="7"/>
    </row>
    <row r="22" spans="1:15" x14ac:dyDescent="0.25">
      <c r="A22" s="86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87"/>
      <c r="O22" s="7"/>
    </row>
    <row r="23" spans="1:15" x14ac:dyDescent="0.25">
      <c r="A23" s="86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87"/>
      <c r="O23" s="7"/>
    </row>
    <row r="24" spans="1:15" x14ac:dyDescent="0.25">
      <c r="A24" s="86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87"/>
      <c r="O24" s="7"/>
    </row>
    <row r="25" spans="1:15" ht="15.75" thickBot="1" x14ac:dyDescent="0.3">
      <c r="A25" s="88"/>
      <c r="B25" s="89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1"/>
      <c r="O25" s="7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"/>
  <sheetViews>
    <sheetView workbookViewId="0">
      <selection sqref="A1:B17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6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bx_Template</vt:lpstr>
      <vt:lpstr>NamedRangeDefintions</vt:lpstr>
      <vt:lpstr>BusMatrixName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2014-08-15T12:35:23Z</dcterms:modified>
</cp:coreProperties>
</file>