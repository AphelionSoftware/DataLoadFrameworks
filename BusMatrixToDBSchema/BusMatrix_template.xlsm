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tina\Dropbox (Data)\DataLoadFramework\"/>
    </mc:Choice>
  </mc:AlternateContent>
  <bookViews>
    <workbookView xWindow="0" yWindow="0" windowWidth="20490" windowHeight="7755" tabRatio="866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Process1" sheetId="25" r:id="rId8"/>
    <sheet name="NamedRangeDefintions" sheetId="31" r:id="rId9"/>
  </sheets>
  <externalReferences>
    <externalReference r:id="rId10"/>
    <externalReference r:id="rId11"/>
  </externalReferences>
  <definedNames>
    <definedName name="_xlnm._FilterDatabase" localSheetId="3" hidden="1">AllTables!$A$1:$J$1</definedName>
    <definedName name="_xlnm._FilterDatabase" localSheetId="4" hidden="1">Dimensions!$A$2:$Q$2</definedName>
    <definedName name="_xlnm._FilterDatabase" localSheetId="2" hidden="1">ExpandedTables!$A$1:$J$44</definedName>
    <definedName name="_xlnm._FilterDatabase" localSheetId="5" hidden="1">Facts!$A$2:$S$2</definedName>
    <definedName name="BusMatrixName">OFFSET(AllTables!#REF!,0,0,(COUNTA(AllTables!$A:$A)-1),1)</definedName>
    <definedName name="busmatrixnames">AllTables!#REF!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OFFSET(Dimensions!#REF!,0,0,(COUNTA(Dimensions!$A:$A)-1),1)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OFFSET(AllTables!#REF!,0,0,(COUNTA(AllTables!$A:$A)),1)</definedName>
    <definedName name="tableNames">AllTables!#REF!</definedName>
    <definedName name="TableType">OFFSET(AllTables!#REF!,0,0,(COUNTA(AllTables!$A:$A)),1)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5" l="1"/>
  <c r="C13" i="25"/>
  <c r="B13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<sst xmlns="http://schemas.openxmlformats.org/spreadsheetml/2006/main" count="317" uniqueCount="142">
  <si>
    <t>Facts/Dimensions</t>
  </si>
  <si>
    <t>Date</t>
  </si>
  <si>
    <t>Time</t>
  </si>
  <si>
    <t>Measures</t>
  </si>
  <si>
    <t>N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</si>
  <si>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</si>
  <si>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</si>
  <si>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</si>
  <si>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</si>
  <si>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</si>
  <si>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</si>
  <si>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</si>
  <si>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</si>
  <si>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</si>
  <si>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</si>
  <si>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</si>
  <si>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</si>
  <si>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</si>
  <si>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</si>
  <si>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</si>
  <si>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</si>
  <si>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</si>
  <si>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</si>
  <si>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</si>
  <si>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</si>
  <si>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</si>
  <si>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</si>
  <si>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</si>
  <si>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</si>
  <si>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</si>
  <si>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</si>
  <si>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</si>
  <si>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</si>
  <si>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</si>
  <si>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</si>
  <si>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</si>
  <si>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</si>
  <si>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</si>
  <si>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</si>
  <si>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</si>
  <si>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</si>
  <si>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</si>
  <si>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</si>
  <si>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</si>
  <si>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</si>
  <si>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</si>
  <si>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</si>
  <si>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</si>
  <si>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</si>
  <si>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</si>
  <si>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</si>
  <si>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</si>
  <si>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</si>
  <si>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</si>
  <si>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</si>
  <si>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</si>
  <si>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</si>
  <si>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</si>
  <si>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</si>
  <si>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</si>
  <si>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</si>
  <si>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</si>
  <si>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</si>
  <si>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</si>
  <si>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</si>
  <si>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</si>
  <si>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</si>
  <si>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</si>
  <si>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</si>
  <si>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</si>
  <si>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</si>
  <si>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</si>
  <si>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</si>
  <si>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</si>
  <si>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</si>
  <si>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</si>
  <si>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</si>
  <si>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</si>
  <si>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</si>
  <si>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</si>
  <si>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</si>
  <si>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</si>
  <si>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</si>
  <si>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</si>
  <si>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</si>
  <si>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</si>
  <si>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</si>
  <si>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</si>
  <si>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</si>
  <si>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</si>
  <si>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</si>
  <si>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</si>
  <si>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</si>
  <si>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</si>
  <si>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</si>
  <si>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</si>
  <si>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</si>
  <si>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</si>
  <si>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</si>
  <si>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Version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</si>
  <si>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</si>
  <si>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</si>
  <si>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</si>
  <si>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</si>
  <si>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</si>
  <si>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</si>
  <si>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</si>
  <si>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BuildOrder</t>
  </si>
  <si>
    <t>Additional hierarchies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</si>
  <si>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</si>
  <si>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</si>
  <si>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</si>
  <si>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</si>
  <si>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</si>
  <si>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</si>
  <si>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</si>
  <si>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</si>
  <si>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</si>
  <si>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</si>
  <si>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</si>
  <si>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</si>
  <si>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</si>
  <si>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</si>
  <si>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</si>
  <si>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</si>
  <si>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</si>
  <si>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</si>
  <si>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</si>
  <si>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</si>
  <si>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</si>
  <si>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</si>
  <si>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</si>
  <si>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</si>
  <si>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</si>
  <si>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</si>
  <si>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</si>
  <si>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</si>
  <si>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Dimension Names must start in row 3, col 2</t>
  </si>
  <si>
    <t>Product</t>
  </si>
  <si>
    <t>Fact1</t>
  </si>
  <si>
    <t>Fact2</t>
  </si>
  <si>
    <t>Fact3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</si>
</sst>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105">
    <xf numFmtId="0" fontId="0" fillId="0" borderId="0" xfId="0"/>
    <xf numFmtId="0" fontId="3" fillId="0" borderId="0" xfId="0" applyFont="1"/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2" fillId="2" borderId="0" xfId="0" applyFont="1" applyFill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textRotation="45" wrapText="1"/>
    </xf>
    <xf numFmtId="0" fontId="4" fillId="0" borderId="0" xfId="0" applyFont="1" applyAlignment="1">
      <alignment textRotation="60" wrapText="1"/>
    </xf>
    <xf numFmtId="0" fontId="4" fillId="0" borderId="0" xfId="0" applyFont="1" applyFill="1" applyBorder="1" applyAlignment="1">
      <alignment textRotation="45"/>
    </xf>
    <xf numFmtId="0" fontId="4" fillId="0" borderId="0" xfId="0" applyFont="1" applyAlignment="1">
      <alignment textRotation="45"/>
    </xf>
    <xf numFmtId="0" fontId="4" fillId="0" borderId="0" xfId="0" applyFont="1"/>
    <xf numFmtId="0" fontId="5" fillId="0" borderId="0" xfId="2" applyBorder="1" applyAlignment="1">
      <alignment vertical="top"/>
    </xf>
    <xf numFmtId="0" fontId="6" fillId="0" borderId="0" xfId="2" applyFont="1" applyBorder="1" applyAlignment="1">
      <alignment vertical="top"/>
    </xf>
    <xf numFmtId="0" fontId="6" fillId="3" borderId="1" xfId="2" applyFont="1" applyFill="1" applyBorder="1" applyAlignment="1">
      <alignment horizontal="center" vertical="top" wrapText="1"/>
    </xf>
    <xf numFmtId="0" fontId="6" fillId="3" borderId="1" xfId="2" applyFont="1" applyFill="1" applyBorder="1" applyAlignment="1">
      <alignment horizontal="center" vertical="top"/>
    </xf>
    <xf numFmtId="0" fontId="5" fillId="3" borderId="1" xfId="2" applyFill="1" applyBorder="1" applyAlignment="1">
      <alignment vertical="top"/>
    </xf>
    <xf numFmtId="0" fontId="6" fillId="0" borderId="0" xfId="2" applyFont="1"/>
    <xf numFmtId="0" fontId="6" fillId="0" borderId="1" xfId="2" applyFont="1" applyBorder="1"/>
    <xf numFmtId="0" fontId="6" fillId="0" borderId="0" xfId="2" applyFont="1" applyBorder="1" applyAlignment="1">
      <alignment vertical="center"/>
    </xf>
    <xf numFmtId="0" fontId="6" fillId="0" borderId="0" xfId="2" applyFont="1" applyBorder="1"/>
    <xf numFmtId="0" fontId="5" fillId="0" borderId="0" xfId="2"/>
    <xf numFmtId="0" fontId="7" fillId="5" borderId="1" xfId="2" applyFont="1" applyFill="1" applyBorder="1" applyAlignment="1">
      <alignment vertical="center"/>
    </xf>
    <xf numFmtId="0" fontId="7" fillId="5" borderId="1" xfId="2" applyFont="1" applyFill="1" applyBorder="1" applyAlignment="1">
      <alignment horizontal="left" vertical="center"/>
    </xf>
    <xf numFmtId="0" fontId="5" fillId="3" borderId="1" xfId="2" applyFont="1" applyFill="1" applyBorder="1" applyAlignment="1">
      <alignment horizontal="center" vertical="top" wrapText="1"/>
    </xf>
    <xf numFmtId="0" fontId="6" fillId="3" borderId="1" xfId="2" applyFont="1" applyFill="1" applyBorder="1" applyAlignment="1">
      <alignment vertical="center"/>
    </xf>
    <xf numFmtId="0" fontId="6" fillId="3" borderId="1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/>
    </xf>
    <xf numFmtId="0" fontId="6" fillId="0" borderId="1" xfId="2" applyFont="1" applyBorder="1" applyAlignment="1">
      <alignment vertical="top"/>
    </xf>
    <xf numFmtId="0" fontId="0" fillId="0" borderId="0" xfId="0" applyBorder="1"/>
    <xf numFmtId="0" fontId="6" fillId="0" borderId="3" xfId="2" applyFont="1" applyBorder="1"/>
    <xf numFmtId="0" fontId="10" fillId="3" borderId="1" xfId="2" applyFont="1" applyFill="1" applyBorder="1"/>
    <xf numFmtId="167" fontId="10" fillId="3" borderId="1" xfId="2" applyNumberFormat="1" applyFont="1" applyFill="1" applyBorder="1" applyAlignment="1">
      <alignment horizontal="left"/>
    </xf>
    <xf numFmtId="0" fontId="10" fillId="3" borderId="1" xfId="2" applyFont="1" applyFill="1" applyBorder="1" applyAlignment="1">
      <alignment vertical="top"/>
    </xf>
    <xf numFmtId="167" fontId="10" fillId="3" borderId="1" xfId="2" applyNumberFormat="1" applyFont="1" applyFill="1" applyBorder="1" applyAlignment="1">
      <alignment vertical="top" wrapText="1"/>
    </xf>
    <xf numFmtId="2" fontId="10" fillId="3" borderId="1" xfId="2" applyNumberFormat="1" applyFont="1" applyFill="1" applyBorder="1" applyAlignment="1">
      <alignment horizontal="left"/>
    </xf>
    <xf numFmtId="166" fontId="10" fillId="3" borderId="1" xfId="2" applyNumberFormat="1" applyFont="1" applyFill="1" applyBorder="1" applyAlignment="1">
      <alignment horizontal="left"/>
    </xf>
    <xf numFmtId="0" fontId="6" fillId="0" borderId="0" xfId="2" applyFont="1" applyBorder="1" applyAlignment="1">
      <alignment horizontal="center"/>
    </xf>
    <xf numFmtId="0" fontId="6" fillId="3" borderId="4" xfId="2" applyFont="1" applyFill="1" applyBorder="1" applyAlignment="1">
      <alignment horizontal="center" vertical="center"/>
    </xf>
    <xf numFmtId="0" fontId="6" fillId="3" borderId="10" xfId="2" applyFont="1" applyFill="1" applyBorder="1" applyAlignment="1">
      <alignment vertical="top"/>
    </xf>
    <xf numFmtId="0" fontId="6" fillId="3" borderId="11" xfId="2" applyFont="1" applyFill="1" applyBorder="1" applyAlignment="1">
      <alignment horizontal="center" vertical="top"/>
    </xf>
    <xf numFmtId="0" fontId="6" fillId="3" borderId="11" xfId="2" applyFont="1" applyFill="1" applyBorder="1" applyAlignment="1">
      <alignment horizontal="center" vertical="top" wrapText="1"/>
    </xf>
    <xf numFmtId="0" fontId="6" fillId="3" borderId="12" xfId="2" applyFont="1" applyFill="1" applyBorder="1" applyAlignment="1">
      <alignment horizontal="center" vertical="top"/>
    </xf>
    <xf numFmtId="0" fontId="6" fillId="3" borderId="4" xfId="2" applyFont="1" applyFill="1" applyBorder="1" applyAlignment="1">
      <alignment horizontal="center" vertical="center" wrapText="1"/>
    </xf>
    <xf numFmtId="0" fontId="6" fillId="3" borderId="13" xfId="2" applyFont="1" applyFill="1" applyBorder="1" applyAlignment="1">
      <alignment horizontal="center" vertical="center"/>
    </xf>
    <xf numFmtId="0" fontId="6" fillId="3" borderId="2" xfId="2" applyFont="1" applyFill="1" applyBorder="1" applyAlignment="1">
      <alignment horizontal="center" vertical="center"/>
    </xf>
    <xf numFmtId="0" fontId="5" fillId="3" borderId="14" xfId="2" applyFill="1" applyBorder="1" applyAlignment="1">
      <alignment vertical="top"/>
    </xf>
    <xf numFmtId="0" fontId="6" fillId="3" borderId="20" xfId="2" applyFont="1" applyFill="1" applyBorder="1" applyAlignment="1">
      <alignment vertical="top"/>
    </xf>
    <xf numFmtId="0" fontId="6" fillId="3" borderId="21" xfId="2" applyFont="1" applyFill="1" applyBorder="1" applyAlignment="1">
      <alignment horizontal="center" vertical="top"/>
    </xf>
    <xf numFmtId="0" fontId="5" fillId="3" borderId="22" xfId="2" applyFont="1" applyFill="1" applyBorder="1" applyAlignment="1">
      <alignment horizontal="center" vertical="top" wrapText="1"/>
    </xf>
    <xf numFmtId="0" fontId="6" fillId="3" borderId="15" xfId="2" applyFont="1" applyFill="1" applyBorder="1" applyAlignment="1">
      <alignment horizontal="center" vertical="center" wrapText="1"/>
    </xf>
    <xf numFmtId="0" fontId="9" fillId="5" borderId="0" xfId="2" applyFont="1" applyFill="1" applyBorder="1" applyAlignment="1">
      <alignment horizontal="center" vertical="center"/>
    </xf>
    <xf numFmtId="0" fontId="9" fillId="4" borderId="23" xfId="2" applyFont="1" applyFill="1" applyBorder="1" applyAlignment="1">
      <alignment horizontal="center" vertical="center"/>
    </xf>
    <xf numFmtId="0" fontId="9" fillId="5" borderId="23" xfId="2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 wrapText="1"/>
    </xf>
    <xf numFmtId="0" fontId="6" fillId="3" borderId="25" xfId="2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vertical="center"/>
    </xf>
    <xf numFmtId="0" fontId="9" fillId="5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4" fillId="2" borderId="3" xfId="0" applyFont="1" applyFill="1" applyBorder="1" applyAlignment="1">
      <alignment textRotation="45" wrapText="1"/>
    </xf>
    <xf numFmtId="0" fontId="12" fillId="2" borderId="3" xfId="0" applyFont="1" applyFill="1" applyBorder="1" applyAlignment="1">
      <alignment textRotation="45" wrapText="1"/>
    </xf>
    <xf numFmtId="0" fontId="4" fillId="0" borderId="3" xfId="0" applyFont="1" applyBorder="1" applyAlignment="1">
      <alignment textRotation="45" wrapText="1"/>
    </xf>
    <xf numFmtId="0" fontId="4" fillId="0" borderId="1" xfId="0" applyFont="1" applyBorder="1" applyAlignment="1">
      <alignment textRotation="45" wrapText="1"/>
    </xf>
    <xf numFmtId="0" fontId="4" fillId="0" borderId="28" xfId="0" applyFont="1" applyBorder="1" applyAlignment="1">
      <alignment textRotation="45" wrapText="1"/>
    </xf>
    <xf numFmtId="0" fontId="4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23" xfId="0" applyFont="1" applyFill="1" applyBorder="1" applyAlignment="1">
      <alignment textRotation="45"/>
    </xf>
    <xf numFmtId="0" fontId="4" fillId="0" borderId="23" xfId="0" applyFont="1" applyFill="1" applyBorder="1" applyAlignment="1">
      <alignment textRotation="45"/>
    </xf>
    <xf numFmtId="0" fontId="4" fillId="2" borderId="23" xfId="0" applyFont="1" applyFill="1" applyBorder="1" applyAlignment="1">
      <alignment textRotation="45"/>
    </xf>
    <xf numFmtId="0" fontId="0" fillId="0" borderId="5" xfId="0" applyFont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6" fillId="0" borderId="0" xfId="2" applyFont="1" applyBorder="1" applyAlignment="1">
      <alignment horizontal="center" vertical="top"/>
    </xf>
    <xf numFmtId="0" fontId="0" fillId="6" borderId="0" xfId="0" applyFill="1"/>
    <xf numFmtId="0" fontId="7" fillId="3" borderId="5" xfId="2" applyFont="1" applyFill="1" applyBorder="1" applyAlignment="1">
      <alignment horizontal="center" vertical="top"/>
    </xf>
    <xf numFmtId="0" fontId="7" fillId="3" borderId="6" xfId="2" applyFont="1" applyFill="1" applyBorder="1" applyAlignment="1">
      <alignment horizontal="center" vertical="top"/>
    </xf>
    <xf numFmtId="0" fontId="7" fillId="3" borderId="16" xfId="2" applyFont="1" applyFill="1" applyBorder="1" applyAlignment="1">
      <alignment horizontal="center" vertical="top"/>
    </xf>
    <xf numFmtId="0" fontId="7" fillId="3" borderId="17" xfId="2" applyFont="1" applyFill="1" applyBorder="1" applyAlignment="1">
      <alignment horizontal="center" vertical="top"/>
    </xf>
    <xf numFmtId="0" fontId="7" fillId="3" borderId="18" xfId="2" applyFont="1" applyFill="1" applyBorder="1" applyAlignment="1">
      <alignment horizontal="center" vertical="top"/>
    </xf>
    <xf numFmtId="0" fontId="7" fillId="3" borderId="19" xfId="2" applyFont="1" applyFill="1" applyBorder="1" applyAlignment="1">
      <alignment horizontal="center" vertical="top"/>
    </xf>
    <xf numFmtId="0" fontId="5" fillId="3" borderId="20" xfId="2" applyFill="1" applyBorder="1" applyAlignment="1">
      <alignment horizontal="center" vertical="top"/>
    </xf>
    <xf numFmtId="0" fontId="5" fillId="3" borderId="21" xfId="2" applyFill="1" applyBorder="1" applyAlignment="1">
      <alignment horizontal="center" vertical="top"/>
    </xf>
    <xf numFmtId="0" fontId="5" fillId="3" borderId="6" xfId="2" applyFill="1" applyBorder="1" applyAlignment="1">
      <alignment horizontal="center" vertical="top"/>
    </xf>
    <xf numFmtId="0" fontId="5" fillId="3" borderId="7" xfId="2" applyFill="1" applyBorder="1" applyAlignment="1">
      <alignment horizontal="center" vertical="top"/>
    </xf>
    <xf numFmtId="0" fontId="7" fillId="3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ina/Dropbox%20(Data)/Pagatech/R01_Finance/BusMatrix/Aphelion.PagaFinance.BusMatrix.v0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base"/>
      <sheetName val="Events"/>
      <sheetName val="bx_Finance"/>
      <sheetName val="bx_Airtime"/>
      <sheetName val="bx_Activity"/>
      <sheetName val="bx_Risk"/>
      <sheetName val="bx_Marketing"/>
      <sheetName val="bx_Other"/>
      <sheetName val="AllDims"/>
      <sheetName val="AllTables"/>
      <sheetName val="Dimensions"/>
      <sheetName val="Facts"/>
      <sheetName val="Sheet4"/>
      <sheetName val="Aphelion.PagaFinance.BusMatrix"/>
    </sheetNames>
    <definedNames>
      <definedName name="AddExistingDi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34" bestFit="1" customWidth="1"/>
    <col min="2" max="2" width="10.7109375" style="34" bestFit="1" customWidth="1"/>
    <col min="3" max="16384" width="9.140625" style="34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3" sqref="C3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36" t="s">
        <v>91</v>
      </c>
      <c r="C2" s="41">
        <f ca="1">TODAY()</f>
        <v>41866</v>
      </c>
    </row>
    <row r="3" spans="2:3" ht="18" x14ac:dyDescent="0.25">
      <c r="B3" s="36" t="s">
        <v>92</v>
      </c>
      <c r="C3" s="37"/>
    </row>
    <row r="4" spans="2:3" ht="18" x14ac:dyDescent="0.25">
      <c r="B4" s="38" t="s">
        <v>93</v>
      </c>
      <c r="C4" s="39"/>
    </row>
    <row r="5" spans="2:3" ht="18" x14ac:dyDescent="0.25">
      <c r="B5" s="36" t="s">
        <v>94</v>
      </c>
      <c r="C5" s="40">
        <v>1</v>
      </c>
    </row>
    <row r="6" spans="2:3" ht="18" x14ac:dyDescent="0.25">
      <c r="B6" s="36" t="s">
        <v>95</v>
      </c>
      <c r="C6" s="40" t="s">
        <v>43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26" bestFit="1" customWidth="1"/>
    <col min="2" max="2" width="24" style="26" bestFit="1" customWidth="1"/>
    <col min="3" max="3" width="15.85546875" style="26" bestFit="1" customWidth="1"/>
    <col min="4" max="4" width="20" style="26" bestFit="1" customWidth="1"/>
    <col min="5" max="5" width="19.28515625" style="26" bestFit="1" customWidth="1"/>
    <col min="6" max="6" width="12" style="26" bestFit="1" customWidth="1"/>
    <col min="7" max="7" width="17.140625" style="26" bestFit="1" customWidth="1"/>
    <col min="8" max="8" width="7.28515625" style="26" bestFit="1" customWidth="1"/>
    <col min="9" max="9" width="18.85546875" style="26" bestFit="1" customWidth="1"/>
    <col min="10" max="10" width="8.42578125" style="26" bestFit="1" customWidth="1"/>
    <col min="11" max="16384" width="9.140625" style="26"/>
  </cols>
  <sheetData>
    <row r="1" spans="1:10" x14ac:dyDescent="0.2">
      <c r="A1" s="27" t="s">
        <v>32</v>
      </c>
      <c r="B1" s="27" t="s">
        <v>33</v>
      </c>
      <c r="C1" s="28" t="s">
        <v>18</v>
      </c>
      <c r="D1" s="28" t="s">
        <v>34</v>
      </c>
      <c r="E1" s="27" t="s">
        <v>35</v>
      </c>
      <c r="F1" s="27" t="s">
        <v>36</v>
      </c>
      <c r="G1" s="27" t="s">
        <v>37</v>
      </c>
      <c r="H1" s="27" t="s">
        <v>26</v>
      </c>
      <c r="I1" s="27" t="s">
        <v>38</v>
      </c>
      <c r="J1" s="27" t="s">
        <v>75</v>
      </c>
    </row>
    <row r="2" spans="1:10" s="22" customFormat="1" ht="11.25" x14ac:dyDescent="0.2">
      <c r="A2" s="35" t="s">
        <v>39</v>
      </c>
      <c r="B2" s="35" t="s">
        <v>44</v>
      </c>
      <c r="C2" s="35"/>
      <c r="D2" s="35"/>
      <c r="E2" s="35"/>
      <c r="F2" s="35"/>
      <c r="G2" s="35"/>
      <c r="H2" s="35"/>
      <c r="I2" s="35" t="s">
        <v>4</v>
      </c>
      <c r="J2" s="23" t="e">
        <f t="array" aca="1" ref="J2" ca="1">SUM(IF((A2=TableType)*(B2=TableName),1,0))</f>
        <v>#REF!</v>
      </c>
    </row>
    <row r="3" spans="1:10" s="22" customFormat="1" ht="11.25" x14ac:dyDescent="0.2">
      <c r="A3" s="23" t="s">
        <v>39</v>
      </c>
      <c r="B3" s="23" t="s">
        <v>45</v>
      </c>
      <c r="C3" s="23"/>
      <c r="D3" s="23"/>
      <c r="E3" s="23"/>
      <c r="F3" s="23"/>
      <c r="G3" s="23"/>
      <c r="H3" s="23"/>
      <c r="I3" s="23" t="s">
        <v>4</v>
      </c>
      <c r="J3" s="23" t="e">
        <f t="array" aca="1" ref="J3" ca="1">SUM(IF((A3=TableType)*(B3=TableName),1,0))</f>
        <v>#REF!</v>
      </c>
    </row>
    <row r="4" spans="1:10" s="22" customFormat="1" ht="11.25" x14ac:dyDescent="0.2">
      <c r="A4" s="23" t="s">
        <v>39</v>
      </c>
      <c r="B4" s="23" t="s">
        <v>46</v>
      </c>
      <c r="C4" s="23"/>
      <c r="D4" s="23"/>
      <c r="E4" s="23"/>
      <c r="F4" s="23"/>
      <c r="G4" s="23"/>
      <c r="H4" s="23"/>
      <c r="I4" s="23" t="s">
        <v>4</v>
      </c>
      <c r="J4" s="23" t="e">
        <f t="array" aca="1" ref="J4" ca="1">SUM(IF((A4=TableType)*(B4=TableName),1,0))</f>
        <v>#REF!</v>
      </c>
    </row>
    <row r="5" spans="1:10" s="22" customFormat="1" ht="11.25" x14ac:dyDescent="0.2">
      <c r="A5" s="23" t="s">
        <v>39</v>
      </c>
      <c r="B5" s="23" t="s">
        <v>47</v>
      </c>
      <c r="C5" s="23"/>
      <c r="D5" s="23"/>
      <c r="E5" s="23"/>
      <c r="F5" s="23"/>
      <c r="G5" s="23"/>
      <c r="H5" s="23"/>
      <c r="I5" s="23" t="s">
        <v>4</v>
      </c>
      <c r="J5" s="23" t="e">
        <f t="array" aca="1" ref="J5" ca="1">SUM(IF((A5=TableType)*(B5=TableName),1,0))</f>
        <v>#REF!</v>
      </c>
    </row>
    <row r="6" spans="1:10" s="22" customFormat="1" ht="11.25" x14ac:dyDescent="0.2">
      <c r="A6" s="23" t="s">
        <v>39</v>
      </c>
      <c r="B6" s="23" t="s">
        <v>48</v>
      </c>
      <c r="C6" s="23"/>
      <c r="D6" s="23"/>
      <c r="E6" s="23"/>
      <c r="F6" s="23"/>
      <c r="G6" s="23"/>
      <c r="H6" s="23"/>
      <c r="I6" s="23" t="s">
        <v>4</v>
      </c>
      <c r="J6" s="23" t="e">
        <f t="array" aca="1" ref="J6" ca="1">SUM(IF((A6=TableType)*(B6=TableName),1,0))</f>
        <v>#REF!</v>
      </c>
    </row>
    <row r="7" spans="1:10" s="22" customFormat="1" ht="11.25" x14ac:dyDescent="0.2">
      <c r="A7" s="23" t="s">
        <v>39</v>
      </c>
      <c r="B7" s="23" t="s">
        <v>49</v>
      </c>
      <c r="C7" s="23"/>
      <c r="D7" s="23"/>
      <c r="E7" s="23"/>
      <c r="F7" s="23"/>
      <c r="G7" s="23"/>
      <c r="H7" s="23"/>
      <c r="I7" s="23" t="s">
        <v>4</v>
      </c>
      <c r="J7" s="23" t="e">
        <f t="array" aca="1" ref="J7" ca="1">SUM(IF((A7=TableType)*(B7=TableName),1,0))</f>
        <v>#REF!</v>
      </c>
    </row>
    <row r="8" spans="1:10" s="22" customFormat="1" ht="11.25" x14ac:dyDescent="0.2">
      <c r="A8" s="23" t="s">
        <v>39</v>
      </c>
      <c r="B8" s="23" t="s">
        <v>50</v>
      </c>
      <c r="C8" s="23"/>
      <c r="D8" s="23"/>
      <c r="E8" s="23"/>
      <c r="F8" s="23"/>
      <c r="G8" s="23"/>
      <c r="H8" s="23"/>
      <c r="I8" s="23" t="s">
        <v>4</v>
      </c>
      <c r="J8" s="23" t="e">
        <f t="array" aca="1" ref="J8" ca="1">SUM(IF((A8=TableType)*(B8=TableName),1,0))</f>
        <v>#REF!</v>
      </c>
    </row>
    <row r="9" spans="1:10" s="22" customFormat="1" ht="11.25" x14ac:dyDescent="0.2">
      <c r="A9" s="23" t="s">
        <v>39</v>
      </c>
      <c r="B9" s="23" t="s">
        <v>51</v>
      </c>
      <c r="C9" s="23"/>
      <c r="D9" s="23"/>
      <c r="E9" s="23"/>
      <c r="F9" s="23"/>
      <c r="G9" s="23"/>
      <c r="H9" s="23"/>
      <c r="I9" s="23" t="s">
        <v>4</v>
      </c>
      <c r="J9" s="23" t="e">
        <f t="array" aca="1" ref="J9" ca="1">SUM(IF((A9=TableType)*(B9=TableName),1,0))</f>
        <v>#REF!</v>
      </c>
    </row>
    <row r="10" spans="1:10" s="22" customFormat="1" ht="11.25" x14ac:dyDescent="0.2">
      <c r="A10" s="23" t="s">
        <v>39</v>
      </c>
      <c r="B10" s="23" t="s">
        <v>52</v>
      </c>
      <c r="C10" s="23"/>
      <c r="D10" s="23"/>
      <c r="E10" s="23"/>
      <c r="F10" s="23"/>
      <c r="G10" s="23"/>
      <c r="H10" s="23"/>
      <c r="I10" s="23" t="s">
        <v>4</v>
      </c>
      <c r="J10" s="23" t="e">
        <f t="array" aca="1" ref="J10" ca="1">SUM(IF((A10=TableType)*(B10=TableName),1,0))</f>
        <v>#REF!</v>
      </c>
    </row>
    <row r="11" spans="1:10" s="22" customFormat="1" ht="11.25" x14ac:dyDescent="0.2">
      <c r="A11" s="23" t="s">
        <v>39</v>
      </c>
      <c r="B11" s="23" t="s">
        <v>53</v>
      </c>
      <c r="C11" s="23"/>
      <c r="D11" s="23"/>
      <c r="E11" s="23"/>
      <c r="F11" s="23"/>
      <c r="G11" s="23"/>
      <c r="H11" s="23"/>
      <c r="I11" s="23" t="s">
        <v>4</v>
      </c>
      <c r="J11" s="23" t="e">
        <f t="array" aca="1" ref="J11" ca="1">SUM(IF((A11=TableType)*(B11=TableName),1,0))</f>
        <v>#REF!</v>
      </c>
    </row>
    <row r="12" spans="1:10" s="22" customFormat="1" ht="11.25" x14ac:dyDescent="0.2">
      <c r="A12" s="23" t="s">
        <v>39</v>
      </c>
      <c r="B12" s="23" t="s">
        <v>54</v>
      </c>
      <c r="C12" s="23"/>
      <c r="D12" s="23"/>
      <c r="E12" s="23"/>
      <c r="F12" s="23"/>
      <c r="G12" s="23"/>
      <c r="H12" s="23"/>
      <c r="I12" s="23" t="s">
        <v>4</v>
      </c>
      <c r="J12" s="23" t="e">
        <f t="array" aca="1" ref="J12" ca="1">SUM(IF((A12=TableType)*(B12=TableName),1,0))</f>
        <v>#REF!</v>
      </c>
    </row>
    <row r="13" spans="1:10" s="22" customFormat="1" ht="11.25" x14ac:dyDescent="0.2">
      <c r="A13" s="23" t="s">
        <v>39</v>
      </c>
      <c r="B13" s="23" t="s">
        <v>15</v>
      </c>
      <c r="C13" s="23"/>
      <c r="D13" s="23"/>
      <c r="E13" s="23"/>
      <c r="F13" s="23"/>
      <c r="G13" s="23"/>
      <c r="H13" s="23"/>
      <c r="I13" s="23" t="s">
        <v>4</v>
      </c>
      <c r="J13" s="23" t="e">
        <f t="array" aca="1" ref="J13" ca="1">SUM(IF((A13=TableType)*(B13=TableName),1,0))</f>
        <v>#REF!</v>
      </c>
    </row>
    <row r="14" spans="1:10" s="22" customFormat="1" ht="11.25" x14ac:dyDescent="0.2">
      <c r="A14" s="23" t="s">
        <v>39</v>
      </c>
      <c r="B14" s="23" t="s">
        <v>55</v>
      </c>
      <c r="C14" s="23"/>
      <c r="D14" s="23"/>
      <c r="E14" s="23"/>
      <c r="F14" s="23"/>
      <c r="G14" s="23"/>
      <c r="H14" s="23"/>
      <c r="I14" s="23" t="s">
        <v>4</v>
      </c>
      <c r="J14" s="23" t="e">
        <f t="array" aca="1" ref="J14" ca="1">SUM(IF((A14=TableType)*(B14=TableName),1,0))</f>
        <v>#REF!</v>
      </c>
    </row>
    <row r="15" spans="1:10" s="22" customFormat="1" ht="11.25" x14ac:dyDescent="0.2">
      <c r="A15" s="23" t="s">
        <v>39</v>
      </c>
      <c r="B15" s="23" t="s">
        <v>5</v>
      </c>
      <c r="C15" s="23"/>
      <c r="D15" s="23"/>
      <c r="E15" s="23"/>
      <c r="F15" s="23"/>
      <c r="G15" s="23"/>
      <c r="H15" s="23"/>
      <c r="I15" s="23" t="s">
        <v>4</v>
      </c>
      <c r="J15" s="23" t="e">
        <f t="array" aca="1" ref="J15" ca="1">SUM(IF((A15=TableType)*(B15=TableName),1,0))</f>
        <v>#REF!</v>
      </c>
    </row>
    <row r="16" spans="1:10" s="22" customFormat="1" ht="11.25" x14ac:dyDescent="0.2">
      <c r="A16" s="23" t="s">
        <v>39</v>
      </c>
      <c r="B16" s="23" t="s">
        <v>56</v>
      </c>
      <c r="C16" s="23"/>
      <c r="D16" s="23"/>
      <c r="E16" s="23"/>
      <c r="F16" s="23"/>
      <c r="G16" s="23"/>
      <c r="H16" s="23"/>
      <c r="I16" s="23" t="s">
        <v>4</v>
      </c>
      <c r="J16" s="23" t="e">
        <f t="array" aca="1" ref="J16" ca="1">SUM(IF((A16=TableType)*(B16=TableName),1,0))</f>
        <v>#REF!</v>
      </c>
    </row>
    <row r="17" spans="1:10" s="22" customFormat="1" ht="11.25" x14ac:dyDescent="0.2">
      <c r="A17" s="23" t="s">
        <v>39</v>
      </c>
      <c r="B17" s="23" t="s">
        <v>57</v>
      </c>
      <c r="C17" s="23"/>
      <c r="D17" s="23"/>
      <c r="E17" s="23"/>
      <c r="F17" s="23"/>
      <c r="G17" s="23"/>
      <c r="H17" s="23"/>
      <c r="I17" s="23" t="s">
        <v>4</v>
      </c>
      <c r="J17" s="23" t="e">
        <f t="array" aca="1" ref="J17" ca="1">SUM(IF((A17=TableType)*(B17=TableName),1,0))</f>
        <v>#REF!</v>
      </c>
    </row>
    <row r="18" spans="1:10" s="22" customFormat="1" ht="11.25" x14ac:dyDescent="0.2">
      <c r="A18" s="23" t="s">
        <v>39</v>
      </c>
      <c r="B18" s="23" t="s">
        <v>58</v>
      </c>
      <c r="C18" s="23"/>
      <c r="D18" s="23"/>
      <c r="E18" s="23"/>
      <c r="F18" s="23"/>
      <c r="G18" s="23"/>
      <c r="H18" s="23"/>
      <c r="I18" s="23" t="s">
        <v>4</v>
      </c>
      <c r="J18" s="23" t="e">
        <f t="array" aca="1" ref="J18" ca="1">SUM(IF((A18=TableType)*(B18=TableName),1,0))</f>
        <v>#REF!</v>
      </c>
    </row>
    <row r="19" spans="1:10" s="22" customFormat="1" ht="11.25" x14ac:dyDescent="0.2">
      <c r="A19" s="23" t="s">
        <v>39</v>
      </c>
      <c r="B19" s="23" t="s">
        <v>6</v>
      </c>
      <c r="C19" s="23"/>
      <c r="D19" s="23"/>
      <c r="E19" s="23"/>
      <c r="F19" s="23"/>
      <c r="G19" s="23"/>
      <c r="H19" s="23"/>
      <c r="I19" s="23" t="s">
        <v>4</v>
      </c>
      <c r="J19" s="23" t="e">
        <f t="array" aca="1" ref="J19" ca="1">SUM(IF((A19=TableType)*(B19=TableName),1,0))</f>
        <v>#REF!</v>
      </c>
    </row>
    <row r="20" spans="1:10" s="22" customFormat="1" ht="11.25" x14ac:dyDescent="0.2">
      <c r="A20" s="23" t="s">
        <v>39</v>
      </c>
      <c r="B20" s="23" t="s">
        <v>7</v>
      </c>
      <c r="C20" s="23"/>
      <c r="D20" s="23"/>
      <c r="E20" s="23"/>
      <c r="F20" s="23"/>
      <c r="G20" s="23"/>
      <c r="H20" s="23"/>
      <c r="I20" s="23" t="s">
        <v>4</v>
      </c>
      <c r="J20" s="23" t="e">
        <f t="array" aca="1" ref="J20" ca="1">SUM(IF((A20=TableType)*(B20=TableName),1,0))</f>
        <v>#REF!</v>
      </c>
    </row>
    <row r="21" spans="1:10" s="22" customFormat="1" ht="11.25" x14ac:dyDescent="0.2">
      <c r="A21" s="23" t="s">
        <v>39</v>
      </c>
      <c r="B21" s="23" t="s">
        <v>59</v>
      </c>
      <c r="C21" s="23"/>
      <c r="D21" s="23"/>
      <c r="E21" s="23"/>
      <c r="F21" s="23"/>
      <c r="G21" s="23"/>
      <c r="H21" s="23"/>
      <c r="I21" s="23" t="s">
        <v>4</v>
      </c>
      <c r="J21" s="23" t="e">
        <f t="array" aca="1" ref="J21" ca="1">SUM(IF((A21=TableType)*(B21=TableName),1,0))</f>
        <v>#REF!</v>
      </c>
    </row>
    <row r="22" spans="1:10" s="22" customFormat="1" ht="11.25" x14ac:dyDescent="0.2">
      <c r="A22" s="23" t="s">
        <v>39</v>
      </c>
      <c r="B22" s="23" t="s">
        <v>60</v>
      </c>
      <c r="C22" s="23"/>
      <c r="D22" s="23"/>
      <c r="E22" s="23"/>
      <c r="F22" s="23"/>
      <c r="G22" s="23"/>
      <c r="H22" s="23"/>
      <c r="I22" s="23" t="s">
        <v>4</v>
      </c>
      <c r="J22" s="23" t="e">
        <f t="array" aca="1" ref="J22" ca="1">SUM(IF((A22=TableType)*(B22=TableName),1,0))</f>
        <v>#REF!</v>
      </c>
    </row>
    <row r="23" spans="1:10" s="22" customFormat="1" ht="11.25" x14ac:dyDescent="0.2">
      <c r="A23" s="23" t="s">
        <v>39</v>
      </c>
      <c r="B23" s="23" t="s">
        <v>61</v>
      </c>
      <c r="C23" s="23"/>
      <c r="D23" s="23"/>
      <c r="E23" s="23"/>
      <c r="F23" s="23"/>
      <c r="G23" s="23"/>
      <c r="H23" s="23"/>
      <c r="I23" s="23" t="s">
        <v>4</v>
      </c>
      <c r="J23" s="23" t="e">
        <f t="array" aca="1" ref="J23" ca="1">SUM(IF((A23=TableType)*(B23=TableName),1,0))</f>
        <v>#REF!</v>
      </c>
    </row>
    <row r="24" spans="1:10" s="22" customFormat="1" ht="11.25" x14ac:dyDescent="0.2">
      <c r="A24" s="23" t="s">
        <v>39</v>
      </c>
      <c r="B24" s="23" t="s">
        <v>62</v>
      </c>
      <c r="C24" s="23"/>
      <c r="D24" s="23"/>
      <c r="E24" s="23"/>
      <c r="F24" s="23"/>
      <c r="G24" s="23"/>
      <c r="H24" s="23"/>
      <c r="I24" s="23" t="s">
        <v>4</v>
      </c>
      <c r="J24" s="23" t="e">
        <f t="array" aca="1" ref="J24" ca="1">SUM(IF((A24=TableType)*(B24=TableName),1,0))</f>
        <v>#REF!</v>
      </c>
    </row>
    <row r="25" spans="1:10" s="22" customFormat="1" ht="11.25" x14ac:dyDescent="0.2">
      <c r="A25" s="23" t="s">
        <v>39</v>
      </c>
      <c r="B25" s="23" t="s">
        <v>63</v>
      </c>
      <c r="C25" s="23"/>
      <c r="D25" s="23"/>
      <c r="E25" s="23"/>
      <c r="F25" s="23"/>
      <c r="G25" s="23"/>
      <c r="H25" s="23"/>
      <c r="I25" s="23" t="s">
        <v>4</v>
      </c>
      <c r="J25" s="23" t="e">
        <f t="array" aca="1" ref="J25" ca="1">SUM(IF((A25=TableType)*(B25=TableName),1,0))</f>
        <v>#REF!</v>
      </c>
    </row>
    <row r="26" spans="1:10" s="22" customFormat="1" ht="11.25" x14ac:dyDescent="0.2">
      <c r="A26" s="23" t="s">
        <v>39</v>
      </c>
      <c r="B26" s="23" t="s">
        <v>64</v>
      </c>
      <c r="C26" s="23"/>
      <c r="D26" s="23"/>
      <c r="E26" s="23"/>
      <c r="F26" s="23"/>
      <c r="G26" s="23"/>
      <c r="H26" s="23"/>
      <c r="I26" s="23" t="s">
        <v>4</v>
      </c>
      <c r="J26" s="23" t="e">
        <f t="array" aca="1" ref="J26" ca="1">SUM(IF((A26=TableType)*(B26=TableName),1,0))</f>
        <v>#REF!</v>
      </c>
    </row>
    <row r="27" spans="1:10" s="22" customFormat="1" ht="11.25" x14ac:dyDescent="0.2">
      <c r="A27" s="23" t="s">
        <v>39</v>
      </c>
      <c r="B27" s="23" t="s">
        <v>8</v>
      </c>
      <c r="C27" s="23"/>
      <c r="D27" s="23"/>
      <c r="E27" s="23"/>
      <c r="F27" s="23"/>
      <c r="G27" s="23"/>
      <c r="H27" s="23"/>
      <c r="I27" s="23" t="s">
        <v>4</v>
      </c>
      <c r="J27" s="23" t="e">
        <f t="array" aca="1" ref="J27" ca="1">SUM(IF((A27=TableType)*(B27=TableName),1,0))</f>
        <v>#REF!</v>
      </c>
    </row>
    <row r="28" spans="1:10" s="22" customFormat="1" ht="11.25" x14ac:dyDescent="0.2">
      <c r="A28" s="23" t="s">
        <v>39</v>
      </c>
      <c r="B28" s="23" t="s">
        <v>65</v>
      </c>
      <c r="C28" s="23"/>
      <c r="D28" s="23"/>
      <c r="E28" s="23"/>
      <c r="F28" s="23"/>
      <c r="G28" s="23"/>
      <c r="H28" s="23"/>
      <c r="I28" s="23" t="s">
        <v>4</v>
      </c>
      <c r="J28" s="23" t="e">
        <f t="array" aca="1" ref="J28" ca="1">SUM(IF((A28=TableType)*(B28=TableName),1,0))</f>
        <v>#REF!</v>
      </c>
    </row>
    <row r="29" spans="1:10" s="22" customFormat="1" ht="11.25" x14ac:dyDescent="0.2">
      <c r="A29" s="23" t="s">
        <v>39</v>
      </c>
      <c r="B29" s="23" t="s">
        <v>66</v>
      </c>
      <c r="C29" s="23"/>
      <c r="D29" s="23"/>
      <c r="E29" s="23"/>
      <c r="F29" s="23"/>
      <c r="G29" s="23"/>
      <c r="H29" s="23"/>
      <c r="I29" s="23" t="s">
        <v>4</v>
      </c>
      <c r="J29" s="23" t="e">
        <f t="array" aca="1" ref="J29" ca="1">SUM(IF((A29=TableType)*(B29=TableName),1,0))</f>
        <v>#REF!</v>
      </c>
    </row>
    <row r="30" spans="1:10" s="22" customFormat="1" ht="11.25" x14ac:dyDescent="0.2">
      <c r="A30" s="23" t="s">
        <v>39</v>
      </c>
      <c r="B30" s="23" t="s">
        <v>9</v>
      </c>
      <c r="C30" s="23"/>
      <c r="D30" s="23"/>
      <c r="E30" s="23"/>
      <c r="F30" s="23"/>
      <c r="G30" s="23"/>
      <c r="H30" s="23"/>
      <c r="I30" s="23" t="s">
        <v>4</v>
      </c>
      <c r="J30" s="23" t="e">
        <f t="array" aca="1" ref="J30" ca="1">SUM(IF((A30=TableType)*(B30=TableName),1,0))</f>
        <v>#REF!</v>
      </c>
    </row>
    <row r="31" spans="1:10" s="22" customFormat="1" ht="11.25" x14ac:dyDescent="0.2">
      <c r="A31" s="23" t="s">
        <v>39</v>
      </c>
      <c r="B31" s="23" t="s">
        <v>67</v>
      </c>
      <c r="C31" s="23"/>
      <c r="D31" s="23"/>
      <c r="E31" s="23"/>
      <c r="F31" s="23"/>
      <c r="G31" s="23"/>
      <c r="H31" s="23"/>
      <c r="I31" s="23" t="s">
        <v>4</v>
      </c>
      <c r="J31" s="23" t="e">
        <f t="array" aca="1" ref="J31" ca="1">SUM(IF((A31=TableType)*(B31=TableName),1,0))</f>
        <v>#REF!</v>
      </c>
    </row>
    <row r="32" spans="1:10" s="22" customFormat="1" ht="11.25" x14ac:dyDescent="0.2">
      <c r="A32" s="23" t="s">
        <v>39</v>
      </c>
      <c r="B32" s="23" t="s">
        <v>68</v>
      </c>
      <c r="C32" s="23"/>
      <c r="D32" s="23"/>
      <c r="E32" s="23"/>
      <c r="F32" s="23"/>
      <c r="G32" s="23"/>
      <c r="H32" s="23"/>
      <c r="I32" s="23" t="s">
        <v>4</v>
      </c>
      <c r="J32" s="23" t="e">
        <f t="array" aca="1" ref="J32" ca="1">SUM(IF((A32=TableType)*(B32=TableName),1,0))</f>
        <v>#REF!</v>
      </c>
    </row>
    <row r="33" spans="1:10" s="22" customFormat="1" ht="11.25" x14ac:dyDescent="0.2">
      <c r="A33" s="23" t="s">
        <v>39</v>
      </c>
      <c r="B33" s="23" t="s">
        <v>69</v>
      </c>
      <c r="C33" s="23"/>
      <c r="D33" s="23"/>
      <c r="E33" s="23"/>
      <c r="F33" s="23"/>
      <c r="G33" s="23"/>
      <c r="H33" s="23"/>
      <c r="I33" s="23" t="s">
        <v>4</v>
      </c>
      <c r="J33" s="23" t="e">
        <f t="array" aca="1" ref="J33" ca="1">SUM(IF((A33=TableType)*(B33=TableName),1,0))</f>
        <v>#REF!</v>
      </c>
    </row>
    <row r="34" spans="1:10" s="22" customFormat="1" ht="11.25" x14ac:dyDescent="0.2">
      <c r="A34" s="23" t="s">
        <v>39</v>
      </c>
      <c r="B34" s="23" t="s">
        <v>70</v>
      </c>
      <c r="C34" s="23"/>
      <c r="D34" s="23"/>
      <c r="E34" s="23"/>
      <c r="F34" s="23"/>
      <c r="G34" s="23"/>
      <c r="H34" s="23"/>
      <c r="I34" s="23" t="s">
        <v>4</v>
      </c>
      <c r="J34" s="23" t="e">
        <f t="array" aca="1" ref="J34" ca="1">SUM(IF((A34=TableType)*(B34=TableName),1,0))</f>
        <v>#REF!</v>
      </c>
    </row>
    <row r="35" spans="1:10" s="22" customFormat="1" ht="11.25" x14ac:dyDescent="0.2">
      <c r="A35" s="23" t="s">
        <v>39</v>
      </c>
      <c r="B35" s="23" t="s">
        <v>71</v>
      </c>
      <c r="C35" s="23"/>
      <c r="D35" s="23"/>
      <c r="E35" s="23"/>
      <c r="F35" s="23"/>
      <c r="G35" s="23"/>
      <c r="H35" s="23"/>
      <c r="I35" s="23" t="s">
        <v>4</v>
      </c>
      <c r="J35" s="23" t="e">
        <f t="array" aca="1" ref="J35" ca="1">SUM(IF((A35=TableType)*(B35=TableName),1,0))</f>
        <v>#REF!</v>
      </c>
    </row>
    <row r="36" spans="1:10" s="22" customFormat="1" ht="11.25" x14ac:dyDescent="0.2">
      <c r="A36" s="23" t="s">
        <v>39</v>
      </c>
      <c r="B36" s="23" t="s">
        <v>10</v>
      </c>
      <c r="C36" s="23"/>
      <c r="D36" s="23"/>
      <c r="E36" s="23"/>
      <c r="F36" s="23"/>
      <c r="G36" s="23"/>
      <c r="H36" s="23"/>
      <c r="I36" s="23" t="s">
        <v>4</v>
      </c>
      <c r="J36" s="23" t="e">
        <f t="array" aca="1" ref="J36" ca="1">SUM(IF((A36=TableType)*(B36=TableName),1,0))</f>
        <v>#REF!</v>
      </c>
    </row>
    <row r="37" spans="1:10" s="22" customFormat="1" ht="11.25" x14ac:dyDescent="0.2">
      <c r="A37" s="23" t="s">
        <v>39</v>
      </c>
      <c r="B37" s="23" t="s">
        <v>11</v>
      </c>
      <c r="C37" s="23"/>
      <c r="D37" s="23"/>
      <c r="E37" s="23"/>
      <c r="F37" s="23"/>
      <c r="G37" s="23"/>
      <c r="H37" s="23"/>
      <c r="I37" s="23" t="s">
        <v>4</v>
      </c>
      <c r="J37" s="23" t="e">
        <f t="array" aca="1" ref="J37" ca="1">SUM(IF((A37=TableType)*(B37=TableName),1,0))</f>
        <v>#REF!</v>
      </c>
    </row>
    <row r="38" spans="1:10" s="22" customFormat="1" ht="11.25" x14ac:dyDescent="0.2">
      <c r="A38" s="23" t="s">
        <v>39</v>
      </c>
      <c r="B38" s="23" t="s">
        <v>12</v>
      </c>
      <c r="C38" s="23"/>
      <c r="D38" s="23"/>
      <c r="E38" s="23"/>
      <c r="F38" s="23"/>
      <c r="G38" s="23"/>
      <c r="H38" s="23"/>
      <c r="I38" s="23" t="s">
        <v>4</v>
      </c>
      <c r="J38" s="23" t="e">
        <f t="array" aca="1" ref="J38" ca="1">SUM(IF((A38=TableType)*(B38=TableName),1,0))</f>
        <v>#REF!</v>
      </c>
    </row>
    <row r="39" spans="1:10" s="22" customFormat="1" ht="11.25" x14ac:dyDescent="0.2">
      <c r="A39" s="23" t="s">
        <v>39</v>
      </c>
      <c r="B39" s="23" t="s">
        <v>72</v>
      </c>
      <c r="C39" s="23"/>
      <c r="D39" s="23"/>
      <c r="E39" s="23"/>
      <c r="F39" s="23"/>
      <c r="G39" s="23"/>
      <c r="H39" s="23"/>
      <c r="I39" s="23" t="s">
        <v>4</v>
      </c>
      <c r="J39" s="23" t="e">
        <f t="array" aca="1" ref="J39" ca="1">SUM(IF((A39=TableType)*(B39=TableName),1,0))</f>
        <v>#REF!</v>
      </c>
    </row>
    <row r="40" spans="1:10" s="22" customFormat="1" ht="11.25" x14ac:dyDescent="0.2">
      <c r="A40" s="23" t="s">
        <v>39</v>
      </c>
      <c r="B40" s="23" t="s">
        <v>73</v>
      </c>
      <c r="C40" s="23"/>
      <c r="D40" s="23"/>
      <c r="E40" s="23"/>
      <c r="F40" s="23"/>
      <c r="G40" s="23"/>
      <c r="H40" s="23"/>
      <c r="I40" s="23" t="s">
        <v>4</v>
      </c>
      <c r="J40" s="23" t="e">
        <f t="array" aca="1" ref="J40" ca="1">SUM(IF((A40=TableType)*(B40=TableName),1,0))</f>
        <v>#REF!</v>
      </c>
    </row>
    <row r="41" spans="1:10" s="22" customFormat="1" ht="11.25" x14ac:dyDescent="0.2">
      <c r="A41" s="23" t="s">
        <v>39</v>
      </c>
      <c r="B41" s="23" t="s">
        <v>13</v>
      </c>
      <c r="C41" s="23"/>
      <c r="D41" s="23"/>
      <c r="E41" s="23"/>
      <c r="F41" s="23"/>
      <c r="G41" s="23"/>
      <c r="H41" s="23"/>
      <c r="I41" s="23" t="s">
        <v>4</v>
      </c>
      <c r="J41" s="23" t="e">
        <f t="array" aca="1" ref="J41" ca="1">SUM(IF((A41=TableType)*(B41=TableName),1,0))</f>
        <v>#REF!</v>
      </c>
    </row>
    <row r="42" spans="1:10" s="22" customFormat="1" ht="11.25" x14ac:dyDescent="0.2">
      <c r="A42" s="23" t="s">
        <v>39</v>
      </c>
      <c r="B42" s="23" t="s">
        <v>14</v>
      </c>
      <c r="C42" s="23"/>
      <c r="D42" s="23"/>
      <c r="E42" s="23"/>
      <c r="F42" s="23"/>
      <c r="G42" s="23"/>
      <c r="H42" s="23"/>
      <c r="I42" s="23" t="s">
        <v>4</v>
      </c>
      <c r="J42" s="23" t="e">
        <f t="array" aca="1" ref="J42" ca="1">SUM(IF((A42=TableType)*(B42=TableName),1,0))</f>
        <v>#REF!</v>
      </c>
    </row>
    <row r="43" spans="1:10" s="22" customFormat="1" ht="11.25" x14ac:dyDescent="0.2">
      <c r="A43" s="23" t="s">
        <v>39</v>
      </c>
      <c r="B43" s="23" t="s">
        <v>42</v>
      </c>
      <c r="C43" s="23"/>
      <c r="D43" s="23"/>
      <c r="E43" s="23"/>
      <c r="F43" s="23"/>
      <c r="G43" s="23"/>
      <c r="H43" s="23"/>
      <c r="I43" s="23" t="s">
        <v>4</v>
      </c>
      <c r="J43" s="23" t="e">
        <f t="array" aca="1" ref="J43" ca="1">SUM(IF((A43=TableType)*(B43=TableName),1,0))</f>
        <v>#REF!</v>
      </c>
    </row>
    <row r="44" spans="1:10" s="22" customFormat="1" ht="11.25" x14ac:dyDescent="0.2">
      <c r="A44" s="23" t="s">
        <v>39</v>
      </c>
      <c r="B44" s="23" t="s">
        <v>74</v>
      </c>
      <c r="C44" s="23"/>
      <c r="D44" s="23"/>
      <c r="E44" s="23"/>
      <c r="F44" s="23"/>
      <c r="G44" s="23"/>
      <c r="H44" s="23"/>
      <c r="I44" s="23" t="s">
        <v>4</v>
      </c>
      <c r="J44" s="23" t="e">
        <f t="array" aca="1" ref="J44" ca="1">SUM(IF((A44=TableType)*(B44=TableName),1,0))</f>
        <v>#REF!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1"/>
  <sheetViews>
    <sheetView workbookViewId="0">
      <pane ySplit="1" topLeftCell="A2" activePane="bottomLeft" state="frozen"/>
      <selection activeCell="C1048532" sqref="C1048532"/>
      <selection pane="bottomLeft" activeCell="A2" sqref="A2:XFD130"/>
    </sheetView>
  </sheetViews>
  <sheetFormatPr defaultRowHeight="12" customHeight="1" x14ac:dyDescent="0.2"/>
  <cols>
    <col min="1" max="1" width="14.140625" style="25" bestFit="1" customWidth="1"/>
    <col min="2" max="3" width="24" style="25" bestFit="1" customWidth="1"/>
    <col min="4" max="4" width="19.5703125" style="25" bestFit="1" customWidth="1"/>
    <col min="5" max="5" width="19.42578125" style="25" bestFit="1" customWidth="1"/>
    <col min="6" max="6" width="13.42578125" style="25" bestFit="1" customWidth="1"/>
    <col min="7" max="7" width="17" style="25" bestFit="1" customWidth="1"/>
    <col min="8" max="8" width="8.85546875" style="25" bestFit="1" customWidth="1"/>
    <col min="9" max="9" width="19" style="42" bestFit="1" customWidth="1"/>
    <col min="10" max="11" width="21.85546875" style="25" bestFit="1" customWidth="1"/>
    <col min="12" max="16384" width="9.140625" style="25"/>
  </cols>
  <sheetData>
    <row r="1" spans="1:12" s="24" customFormat="1" ht="15" customHeight="1" x14ac:dyDescent="0.25">
      <c r="A1" s="57" t="s">
        <v>32</v>
      </c>
      <c r="B1" s="57" t="s">
        <v>33</v>
      </c>
      <c r="C1" s="57" t="s">
        <v>18</v>
      </c>
      <c r="D1" s="57" t="s">
        <v>34</v>
      </c>
      <c r="E1" s="57" t="s">
        <v>35</v>
      </c>
      <c r="F1" s="57" t="s">
        <v>36</v>
      </c>
      <c r="G1" s="57" t="s">
        <v>37</v>
      </c>
      <c r="H1" s="57" t="s">
        <v>26</v>
      </c>
      <c r="I1" s="57" t="s">
        <v>38</v>
      </c>
      <c r="J1" s="56" t="s">
        <v>106</v>
      </c>
      <c r="K1" s="58" t="s">
        <v>105</v>
      </c>
      <c r="L1" s="67" t="s">
        <v>107</v>
      </c>
    </row>
  </sheetData>
  <autoFilter ref="A1:J1"/>
  <sortState ref="A3:K32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:XFD26"/>
    </sheetView>
  </sheetViews>
  <sheetFormatPr defaultRowHeight="11.25" x14ac:dyDescent="0.25"/>
  <cols>
    <col min="1" max="1" width="20.42578125" style="18" bestFit="1" customWidth="1"/>
    <col min="2" max="2" width="24.140625" style="18" customWidth="1"/>
    <col min="3" max="3" width="22.7109375" style="18" customWidth="1"/>
    <col min="4" max="4" width="32.28515625" style="18" customWidth="1"/>
    <col min="5" max="5" width="16.5703125" style="18" customWidth="1"/>
    <col min="6" max="6" width="12.85546875" style="18" bestFit="1" customWidth="1"/>
    <col min="7" max="7" width="12.85546875" style="18" customWidth="1"/>
    <col min="8" max="8" width="10.5703125" style="92" bestFit="1" customWidth="1"/>
    <col min="9" max="9" width="12.7109375" style="18" bestFit="1" customWidth="1"/>
    <col min="10" max="10" width="8.42578125" style="18" bestFit="1" customWidth="1"/>
    <col min="11" max="11" width="8.5703125" style="18" bestFit="1" customWidth="1"/>
    <col min="12" max="12" width="5.5703125" style="92" bestFit="1" customWidth="1"/>
    <col min="13" max="13" width="11.7109375" style="18" bestFit="1" customWidth="1"/>
    <col min="14" max="14" width="11.7109375" style="92" bestFit="1" customWidth="1"/>
    <col min="15" max="15" width="9.140625" style="92" bestFit="1" customWidth="1"/>
    <col min="16" max="16" width="42.140625" style="18" bestFit="1" customWidth="1"/>
    <col min="17" max="17" width="17.85546875" style="18" customWidth="1"/>
    <col min="18" max="16384" width="9.140625" style="18"/>
  </cols>
  <sheetData>
    <row r="1" spans="1:17" s="17" customFormat="1" ht="12.75" customHeight="1" x14ac:dyDescent="0.25">
      <c r="A1" s="44"/>
      <c r="B1" s="45"/>
      <c r="C1" s="45"/>
      <c r="D1" s="45"/>
      <c r="E1" s="45"/>
      <c r="F1" s="46"/>
      <c r="G1" s="46"/>
      <c r="H1" s="47"/>
      <c r="I1" s="94" t="s">
        <v>16</v>
      </c>
      <c r="J1" s="95"/>
      <c r="K1" s="95"/>
      <c r="L1" s="95"/>
      <c r="M1" s="95"/>
      <c r="N1" s="95"/>
      <c r="O1" s="95"/>
      <c r="P1" s="95"/>
      <c r="Q1" s="51"/>
    </row>
    <row r="2" spans="1:17" s="24" customFormat="1" x14ac:dyDescent="0.25">
      <c r="A2" s="48" t="s">
        <v>33</v>
      </c>
      <c r="B2" s="31" t="s">
        <v>17</v>
      </c>
      <c r="C2" s="31" t="s">
        <v>18</v>
      </c>
      <c r="D2" s="31" t="s">
        <v>19</v>
      </c>
      <c r="E2" s="31" t="s">
        <v>20</v>
      </c>
      <c r="F2" s="31" t="s">
        <v>23</v>
      </c>
      <c r="G2" s="31" t="s">
        <v>24</v>
      </c>
      <c r="H2" s="49" t="s">
        <v>100</v>
      </c>
      <c r="I2" s="43" t="s">
        <v>25</v>
      </c>
      <c r="J2" s="32" t="s">
        <v>26</v>
      </c>
      <c r="K2" s="32" t="s">
        <v>27</v>
      </c>
      <c r="L2" s="32" t="s">
        <v>30</v>
      </c>
      <c r="M2" s="31" t="s">
        <v>31</v>
      </c>
      <c r="N2" s="32" t="s">
        <v>97</v>
      </c>
      <c r="O2" s="32" t="s">
        <v>28</v>
      </c>
      <c r="P2" s="50" t="s">
        <v>29</v>
      </c>
      <c r="Q2" s="55" t="s">
        <v>104</v>
      </c>
    </row>
  </sheetData>
  <autoFilter ref="A2:Q2"/>
  <mergeCells count="1">
    <mergeCell ref="I1:P1"/>
  </mergeCells>
  <dataValidations count="1">
    <dataValidation type="list" allowBlank="1" showInputMessage="1" showErrorMessage="1" sqref="A1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"/>
  <sheetViews>
    <sheetView workbookViewId="0">
      <pane xSplit="2" topLeftCell="C1" activePane="topRight" state="frozen"/>
      <selection activeCell="B130" sqref="B130"/>
      <selection pane="topRight" activeCell="A3" sqref="A3:XFD3"/>
    </sheetView>
  </sheetViews>
  <sheetFormatPr defaultRowHeight="11.25" x14ac:dyDescent="0.25"/>
  <cols>
    <col min="1" max="1" width="24" style="18" bestFit="1" customWidth="1"/>
    <col min="2" max="2" width="22.85546875" style="18" bestFit="1" customWidth="1"/>
    <col min="3" max="3" width="14.85546875" style="18" bestFit="1" customWidth="1"/>
    <col min="4" max="4" width="13.28515625" style="18" bestFit="1" customWidth="1"/>
    <col min="5" max="5" width="12.140625" style="18" bestFit="1" customWidth="1"/>
    <col min="6" max="6" width="10.5703125" style="18" bestFit="1" customWidth="1"/>
    <col min="7" max="7" width="12.7109375" style="18" bestFit="1" customWidth="1"/>
    <col min="8" max="8" width="11.7109375" style="18" bestFit="1" customWidth="1"/>
    <col min="9" max="9" width="8.5703125" style="18" bestFit="1" customWidth="1"/>
    <col min="10" max="10" width="11.85546875" style="18" bestFit="1" customWidth="1"/>
    <col min="11" max="11" width="9.140625" style="18" bestFit="1" customWidth="1"/>
    <col min="12" max="12" width="32.5703125" style="18" bestFit="1" customWidth="1"/>
    <col min="13" max="13" width="10.140625" style="18" bestFit="1" customWidth="1"/>
    <col min="14" max="14" width="42.140625" style="18" bestFit="1" customWidth="1"/>
    <col min="15" max="15" width="14.85546875" style="18" bestFit="1" customWidth="1"/>
    <col min="16" max="16" width="14.5703125" style="18" customWidth="1"/>
    <col min="17" max="17" width="13.42578125" style="18" bestFit="1" customWidth="1"/>
    <col min="18" max="18" width="8.28515625" style="18" bestFit="1" customWidth="1"/>
    <col min="19" max="19" width="0" style="18" hidden="1" customWidth="1"/>
    <col min="20" max="16384" width="9.140625" style="18"/>
  </cols>
  <sheetData>
    <row r="1" spans="1:19" s="17" customFormat="1" ht="12.75" customHeight="1" x14ac:dyDescent="0.25">
      <c r="A1" s="52"/>
      <c r="B1" s="53"/>
      <c r="C1" s="53"/>
      <c r="D1" s="53"/>
      <c r="E1" s="53"/>
      <c r="F1" s="53"/>
      <c r="G1" s="54"/>
      <c r="H1" s="96" t="s">
        <v>16</v>
      </c>
      <c r="I1" s="97"/>
      <c r="J1" s="97"/>
      <c r="K1" s="97"/>
      <c r="L1" s="97"/>
      <c r="M1" s="97"/>
      <c r="N1" s="98"/>
      <c r="O1" s="99"/>
      <c r="P1" s="100"/>
      <c r="Q1" s="101"/>
      <c r="R1" s="102"/>
      <c r="S1" s="103"/>
    </row>
    <row r="2" spans="1:19" s="24" customFormat="1" ht="22.5" x14ac:dyDescent="0.25">
      <c r="A2" s="59" t="s">
        <v>33</v>
      </c>
      <c r="B2" s="60" t="s">
        <v>17</v>
      </c>
      <c r="C2" s="60" t="s">
        <v>18</v>
      </c>
      <c r="D2" s="60" t="s">
        <v>19</v>
      </c>
      <c r="E2" s="60" t="s">
        <v>20</v>
      </c>
      <c r="F2" s="60" t="s">
        <v>23</v>
      </c>
      <c r="G2" s="61" t="s">
        <v>24</v>
      </c>
      <c r="H2" s="62" t="s">
        <v>25</v>
      </c>
      <c r="I2" s="63" t="s">
        <v>26</v>
      </c>
      <c r="J2" s="63" t="s">
        <v>27</v>
      </c>
      <c r="K2" s="63" t="s">
        <v>30</v>
      </c>
      <c r="L2" s="60" t="s">
        <v>31</v>
      </c>
      <c r="M2" s="63" t="s">
        <v>28</v>
      </c>
      <c r="N2" s="63" t="s">
        <v>29</v>
      </c>
      <c r="O2" s="64" t="s">
        <v>97</v>
      </c>
      <c r="P2" s="59" t="s">
        <v>104</v>
      </c>
      <c r="Q2" s="63" t="s">
        <v>41</v>
      </c>
      <c r="R2" s="65" t="s">
        <v>96</v>
      </c>
      <c r="S2" s="66" t="s">
        <v>101</v>
      </c>
    </row>
  </sheetData>
  <autoFilter ref="A2:S2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17" bestFit="1" customWidth="1"/>
    <col min="2" max="2" width="24.140625" style="17" customWidth="1"/>
    <col min="3" max="3" width="22.7109375" style="17" customWidth="1"/>
    <col min="4" max="4" width="32.28515625" style="17" customWidth="1"/>
    <col min="5" max="5" width="12.140625" style="17" bestFit="1" customWidth="1"/>
    <col min="6" max="6" width="18.140625" style="17" bestFit="1" customWidth="1"/>
    <col min="7" max="7" width="13.85546875" style="17" bestFit="1" customWidth="1"/>
    <col min="8" max="8" width="10.5703125" style="17" bestFit="1" customWidth="1"/>
    <col min="9" max="9" width="12.7109375" style="17" bestFit="1" customWidth="1"/>
    <col min="10" max="10" width="8.42578125" style="17" bestFit="1" customWidth="1"/>
    <col min="11" max="11" width="8.140625" style="17" bestFit="1" customWidth="1"/>
    <col min="12" max="12" width="7.28515625" style="17" bestFit="1" customWidth="1"/>
    <col min="13" max="13" width="4.5703125" style="17" bestFit="1" customWidth="1"/>
    <col min="14" max="14" width="48.140625" style="17" customWidth="1"/>
    <col min="15" max="15" width="5.5703125" style="17" bestFit="1" customWidth="1"/>
    <col min="16" max="16" width="7.140625" style="17" bestFit="1" customWidth="1"/>
    <col min="17" max="17" width="15" style="17" bestFit="1" customWidth="1"/>
    <col min="18" max="19" width="25.7109375" style="17" customWidth="1"/>
    <col min="20" max="16384" width="9.140625" style="17"/>
  </cols>
  <sheetData>
    <row r="1" spans="1:19" ht="12.75" customHeight="1" x14ac:dyDescent="0.25">
      <c r="A1" s="21"/>
      <c r="B1" s="20"/>
      <c r="C1" s="20"/>
      <c r="D1" s="20"/>
      <c r="E1" s="20"/>
      <c r="F1" s="19"/>
      <c r="G1" s="19"/>
      <c r="H1" s="20"/>
      <c r="I1" s="29"/>
      <c r="J1" s="104" t="s">
        <v>16</v>
      </c>
      <c r="K1" s="104"/>
      <c r="L1" s="104"/>
      <c r="M1" s="104"/>
      <c r="N1" s="104"/>
      <c r="O1" s="104"/>
      <c r="P1" s="104"/>
      <c r="Q1" s="104"/>
      <c r="R1" s="21"/>
      <c r="S1" s="21"/>
    </row>
    <row r="2" spans="1:19" s="24" customFormat="1" ht="22.5" x14ac:dyDescent="0.25">
      <c r="A2" s="30" t="s">
        <v>33</v>
      </c>
      <c r="B2" s="31" t="s">
        <v>17</v>
      </c>
      <c r="C2" s="31" t="s">
        <v>18</v>
      </c>
      <c r="D2" s="31" t="s">
        <v>19</v>
      </c>
      <c r="E2" s="31" t="s">
        <v>20</v>
      </c>
      <c r="F2" s="31" t="s">
        <v>21</v>
      </c>
      <c r="G2" s="31" t="s">
        <v>22</v>
      </c>
      <c r="H2" s="31" t="s">
        <v>23</v>
      </c>
      <c r="I2" s="31" t="s">
        <v>24</v>
      </c>
      <c r="J2" s="32" t="s">
        <v>25</v>
      </c>
      <c r="K2" s="32" t="s">
        <v>26</v>
      </c>
      <c r="L2" s="32" t="s">
        <v>27</v>
      </c>
      <c r="M2" s="32" t="s">
        <v>28</v>
      </c>
      <c r="N2" s="32" t="s">
        <v>29</v>
      </c>
      <c r="O2" s="32" t="s">
        <v>30</v>
      </c>
      <c r="P2" s="32" t="s">
        <v>97</v>
      </c>
      <c r="Q2" s="31" t="s">
        <v>31</v>
      </c>
      <c r="R2" s="31" t="s">
        <v>40</v>
      </c>
      <c r="S2" s="32" t="s">
        <v>41</v>
      </c>
    </row>
    <row r="3" spans="1:19" s="18" customFormat="1" ht="11.25" x14ac:dyDescent="0.25">
      <c r="A3" s="33" t="s">
        <v>90</v>
      </c>
      <c r="B3" s="33" t="s">
        <v>76</v>
      </c>
      <c r="C3" s="33" t="s">
        <v>76</v>
      </c>
      <c r="D3" s="33"/>
      <c r="E3" s="33" t="s">
        <v>77</v>
      </c>
      <c r="F3" s="33"/>
      <c r="G3" s="33">
        <v>2</v>
      </c>
      <c r="H3" s="33"/>
      <c r="I3" s="33"/>
      <c r="J3" s="33" t="s">
        <v>78</v>
      </c>
      <c r="K3" s="33">
        <v>255</v>
      </c>
      <c r="L3" s="33"/>
      <c r="M3" s="33"/>
      <c r="N3" s="33"/>
      <c r="O3" s="33" t="s">
        <v>4</v>
      </c>
      <c r="P3" s="33"/>
      <c r="Q3" s="33"/>
      <c r="R3" s="33"/>
      <c r="S3" s="33"/>
    </row>
    <row r="4" spans="1:19" s="18" customFormat="1" ht="11.25" x14ac:dyDescent="0.25">
      <c r="A4" s="33" t="s">
        <v>90</v>
      </c>
      <c r="B4" s="33" t="s">
        <v>79</v>
      </c>
      <c r="C4" s="33" t="s">
        <v>79</v>
      </c>
      <c r="D4" s="33"/>
      <c r="E4" s="33" t="s">
        <v>77</v>
      </c>
      <c r="F4" s="33"/>
      <c r="G4" s="33">
        <v>2</v>
      </c>
      <c r="H4" s="33"/>
      <c r="I4" s="33"/>
      <c r="J4" s="33" t="s">
        <v>78</v>
      </c>
      <c r="K4" s="33">
        <v>50</v>
      </c>
      <c r="L4" s="33"/>
      <c r="M4" s="33"/>
      <c r="N4" s="33"/>
      <c r="O4" s="33" t="s">
        <v>4</v>
      </c>
      <c r="P4" s="33"/>
      <c r="Q4" s="33"/>
      <c r="R4" s="33"/>
      <c r="S4" s="33"/>
    </row>
    <row r="5" spans="1:19" s="18" customFormat="1" ht="11.25" x14ac:dyDescent="0.25">
      <c r="A5" s="33" t="s">
        <v>90</v>
      </c>
      <c r="B5" s="33" t="s">
        <v>98</v>
      </c>
      <c r="C5" s="33" t="s">
        <v>98</v>
      </c>
      <c r="D5" s="33"/>
      <c r="E5" s="33" t="s">
        <v>77</v>
      </c>
      <c r="F5" s="33"/>
      <c r="G5" s="33" t="s">
        <v>102</v>
      </c>
      <c r="H5" s="33"/>
      <c r="I5" s="33"/>
      <c r="J5" s="33" t="s">
        <v>78</v>
      </c>
      <c r="K5" s="33">
        <v>255</v>
      </c>
      <c r="L5" s="33"/>
      <c r="M5" s="33"/>
      <c r="N5" s="33"/>
      <c r="O5" s="33" t="s">
        <v>4</v>
      </c>
      <c r="P5" s="33" t="s">
        <v>43</v>
      </c>
      <c r="Q5" s="33"/>
      <c r="R5" s="33"/>
      <c r="S5" s="33"/>
    </row>
    <row r="6" spans="1:19" s="18" customFormat="1" ht="11.25" x14ac:dyDescent="0.25">
      <c r="A6" s="33" t="s">
        <v>90</v>
      </c>
      <c r="B6" s="33" t="s">
        <v>80</v>
      </c>
      <c r="C6" s="33" t="s">
        <v>80</v>
      </c>
      <c r="D6" s="33"/>
      <c r="E6" s="33" t="s">
        <v>77</v>
      </c>
      <c r="F6" s="33"/>
      <c r="G6" s="33" t="s">
        <v>103</v>
      </c>
      <c r="H6" s="33"/>
      <c r="I6" s="33"/>
      <c r="J6" s="33" t="s">
        <v>81</v>
      </c>
      <c r="K6" s="33"/>
      <c r="L6" s="33"/>
      <c r="M6" s="33"/>
      <c r="N6" s="33"/>
      <c r="O6" s="33" t="s">
        <v>4</v>
      </c>
      <c r="P6" s="33"/>
      <c r="Q6" s="33"/>
      <c r="R6" s="33"/>
      <c r="S6" s="33"/>
    </row>
    <row r="7" spans="1:19" s="18" customFormat="1" ht="11.25" x14ac:dyDescent="0.25">
      <c r="A7" s="33" t="s">
        <v>90</v>
      </c>
      <c r="B7" s="33" t="s">
        <v>82</v>
      </c>
      <c r="C7" s="33" t="s">
        <v>82</v>
      </c>
      <c r="D7" s="33"/>
      <c r="E7" s="33" t="s">
        <v>77</v>
      </c>
      <c r="F7" s="33"/>
      <c r="G7" s="33" t="s">
        <v>82</v>
      </c>
      <c r="H7" s="33"/>
      <c r="I7" s="33"/>
      <c r="J7" s="33" t="s">
        <v>81</v>
      </c>
      <c r="K7" s="33"/>
      <c r="L7" s="33"/>
      <c r="M7" s="33"/>
      <c r="N7" s="33"/>
      <c r="O7" s="33" t="s">
        <v>4</v>
      </c>
      <c r="P7" s="33"/>
      <c r="Q7" s="33"/>
      <c r="R7" s="33"/>
      <c r="S7" s="33"/>
    </row>
    <row r="8" spans="1:19" s="18" customFormat="1" ht="11.25" x14ac:dyDescent="0.25">
      <c r="A8" s="33" t="s">
        <v>90</v>
      </c>
      <c r="B8" s="33" t="s">
        <v>83</v>
      </c>
      <c r="C8" s="33" t="s">
        <v>83</v>
      </c>
      <c r="D8" s="33"/>
      <c r="E8" s="33" t="s">
        <v>77</v>
      </c>
      <c r="F8" s="33"/>
      <c r="G8" s="33"/>
      <c r="H8" s="33"/>
      <c r="I8" s="33"/>
      <c r="J8" s="33" t="s">
        <v>78</v>
      </c>
      <c r="K8" s="33">
        <v>255</v>
      </c>
      <c r="L8" s="33"/>
      <c r="M8" s="33"/>
      <c r="N8" s="33"/>
      <c r="O8" s="33" t="s">
        <v>4</v>
      </c>
      <c r="P8" s="33"/>
      <c r="Q8" s="33" t="s">
        <v>84</v>
      </c>
      <c r="R8" s="33"/>
      <c r="S8" s="33"/>
    </row>
    <row r="9" spans="1:19" s="18" customFormat="1" ht="11.25" x14ac:dyDescent="0.25">
      <c r="A9" s="33" t="s">
        <v>90</v>
      </c>
      <c r="B9" s="33" t="s">
        <v>85</v>
      </c>
      <c r="C9" s="33" t="s">
        <v>85</v>
      </c>
      <c r="D9" s="33"/>
      <c r="E9" s="33" t="s">
        <v>77</v>
      </c>
      <c r="F9" s="33"/>
      <c r="G9" s="33"/>
      <c r="H9" s="33"/>
      <c r="I9" s="33"/>
      <c r="J9" s="33" t="s">
        <v>86</v>
      </c>
      <c r="K9" s="33"/>
      <c r="L9" s="33"/>
      <c r="M9" s="33"/>
      <c r="N9" s="33"/>
      <c r="O9" s="33" t="s">
        <v>4</v>
      </c>
      <c r="P9" s="33"/>
      <c r="Q9" s="33" t="s">
        <v>87</v>
      </c>
      <c r="R9" s="33"/>
      <c r="S9" s="33"/>
    </row>
    <row r="10" spans="1:19" s="18" customFormat="1" ht="11.25" x14ac:dyDescent="0.25">
      <c r="A10" s="33" t="s">
        <v>90</v>
      </c>
      <c r="B10" s="33" t="s">
        <v>88</v>
      </c>
      <c r="C10" s="33" t="s">
        <v>88</v>
      </c>
      <c r="D10" s="33"/>
      <c r="E10" s="33" t="s">
        <v>77</v>
      </c>
      <c r="F10" s="33"/>
      <c r="G10" s="33"/>
      <c r="H10" s="33"/>
      <c r="I10" s="33"/>
      <c r="J10" s="33" t="s">
        <v>78</v>
      </c>
      <c r="K10" s="33">
        <v>255</v>
      </c>
      <c r="L10" s="33"/>
      <c r="M10" s="33"/>
      <c r="N10" s="33"/>
      <c r="O10" s="33" t="s">
        <v>4</v>
      </c>
      <c r="P10" s="33"/>
      <c r="Q10" s="33" t="s">
        <v>84</v>
      </c>
      <c r="R10" s="33"/>
      <c r="S10" s="33"/>
    </row>
    <row r="11" spans="1:19" s="18" customFormat="1" ht="11.25" x14ac:dyDescent="0.25">
      <c r="A11" s="33" t="s">
        <v>90</v>
      </c>
      <c r="B11" s="33" t="s">
        <v>89</v>
      </c>
      <c r="C11" s="33" t="s">
        <v>89</v>
      </c>
      <c r="D11" s="33"/>
      <c r="E11" s="33" t="s">
        <v>77</v>
      </c>
      <c r="F11" s="33"/>
      <c r="G11" s="33"/>
      <c r="H11" s="33"/>
      <c r="I11" s="33"/>
      <c r="J11" s="33" t="s">
        <v>86</v>
      </c>
      <c r="K11" s="33"/>
      <c r="L11" s="33"/>
      <c r="M11" s="33"/>
      <c r="N11" s="33"/>
      <c r="O11" s="33" t="s">
        <v>4</v>
      </c>
      <c r="P11" s="33"/>
      <c r="Q11" s="33" t="s">
        <v>87</v>
      </c>
      <c r="R11" s="33"/>
      <c r="S11" s="33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2"/>
  <sheetViews>
    <sheetView showGridLines="0" topLeftCell="A3" zoomScaleNormal="100" workbookViewId="0">
      <selection activeCell="A7" sqref="A7"/>
    </sheetView>
  </sheetViews>
  <sheetFormatPr defaultRowHeight="15" x14ac:dyDescent="0.25"/>
  <cols>
    <col min="1" max="1" width="41.7109375" style="8" customWidth="1"/>
    <col min="2" max="26" width="3.7109375" customWidth="1"/>
    <col min="31" max="31" width="16.85546875" bestFit="1" customWidth="1"/>
  </cols>
  <sheetData>
    <row r="1" spans="1:31" s="1" customFormat="1" x14ac:dyDescent="0.25">
      <c r="A1" s="93" t="s">
        <v>137</v>
      </c>
    </row>
    <row r="2" spans="1:31" s="3" customFormat="1" ht="26.25" customHeight="1" x14ac:dyDescent="0.25">
      <c r="A2" s="68" t="s">
        <v>108</v>
      </c>
      <c r="B2" s="69"/>
      <c r="C2" s="69"/>
      <c r="D2" s="69"/>
      <c r="E2" s="69"/>
      <c r="F2" s="69"/>
      <c r="G2" s="69"/>
      <c r="H2" s="70"/>
      <c r="I2" s="70"/>
      <c r="J2" s="70"/>
      <c r="K2" s="70"/>
      <c r="L2" s="70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31" s="13" customFormat="1" ht="111" customHeight="1" x14ac:dyDescent="0.25">
      <c r="A3" s="68" t="s">
        <v>0</v>
      </c>
      <c r="B3" s="71" t="s">
        <v>1</v>
      </c>
      <c r="C3" s="71" t="s">
        <v>2</v>
      </c>
      <c r="D3" s="72" t="s">
        <v>138</v>
      </c>
      <c r="E3" s="71"/>
      <c r="F3" s="73"/>
      <c r="G3" s="74"/>
      <c r="H3" s="75"/>
      <c r="I3" s="74"/>
      <c r="J3" s="76"/>
      <c r="K3" s="76"/>
      <c r="L3" s="76"/>
      <c r="M3" s="76"/>
      <c r="N3" s="76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31" s="3" customFormat="1" x14ac:dyDescent="0.25">
      <c r="A4" s="11" t="s">
        <v>139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2"/>
      <c r="R4" s="2"/>
      <c r="S4" s="2"/>
      <c r="T4" s="2"/>
      <c r="U4" s="2"/>
      <c r="V4" s="2"/>
      <c r="W4" s="2"/>
      <c r="X4" s="2"/>
      <c r="Y4" s="2"/>
      <c r="Z4" s="2"/>
    </row>
    <row r="5" spans="1:31" x14ac:dyDescent="0.25">
      <c r="A5" s="11" t="s">
        <v>140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5"/>
      <c r="T5" s="5"/>
      <c r="U5" s="5"/>
      <c r="V5" s="5"/>
      <c r="W5" s="5"/>
      <c r="X5" s="5"/>
      <c r="Y5" s="5"/>
      <c r="Z5" s="5"/>
    </row>
    <row r="6" spans="1:31" x14ac:dyDescent="0.25">
      <c r="A6" s="10" t="s">
        <v>141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5"/>
      <c r="T6" s="5"/>
      <c r="U6" s="5"/>
      <c r="V6" s="5"/>
      <c r="W6" s="5"/>
      <c r="X6" s="5"/>
      <c r="Y6" s="5"/>
      <c r="Z6" s="5"/>
    </row>
    <row r="7" spans="1:31" x14ac:dyDescent="0.25">
      <c r="A7" s="10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8"/>
      <c r="T7" s="78"/>
      <c r="U7" s="78"/>
      <c r="V7" s="78"/>
      <c r="W7" s="78"/>
      <c r="X7" s="78"/>
      <c r="Y7" s="78"/>
      <c r="Z7" s="78"/>
    </row>
    <row r="8" spans="1:31" x14ac:dyDescent="0.25">
      <c r="A8" s="10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</row>
    <row r="9" spans="1:31" x14ac:dyDescent="0.25">
      <c r="A9" s="9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E9" s="6"/>
    </row>
    <row r="10" spans="1:31" x14ac:dyDescent="0.25">
      <c r="A10" s="9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</row>
    <row r="11" spans="1:31" x14ac:dyDescent="0.25">
      <c r="A11" s="11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3" spans="1:31" s="16" customFormat="1" ht="78" thickBot="1" x14ac:dyDescent="0.25">
      <c r="A13" s="79" t="s">
        <v>3</v>
      </c>
      <c r="B13" s="80" t="str">
        <f>A4</f>
        <v>Fact1</v>
      </c>
      <c r="C13" s="80" t="str">
        <f>A5</f>
        <v>Fact2</v>
      </c>
      <c r="D13" s="80" t="str">
        <f>A6</f>
        <v>Fact3</v>
      </c>
      <c r="E13" s="81"/>
      <c r="F13" s="81"/>
      <c r="G13" s="81"/>
      <c r="H13" s="81"/>
      <c r="I13" s="81"/>
      <c r="J13" s="82"/>
      <c r="K13" s="82"/>
      <c r="L13" s="82"/>
      <c r="M13" s="82"/>
      <c r="N13" s="82"/>
      <c r="O13" s="14"/>
      <c r="P13" s="15"/>
    </row>
    <row r="14" spans="1:31" x14ac:dyDescent="0.25">
      <c r="A14" s="83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5"/>
      <c r="O14" s="7"/>
    </row>
    <row r="15" spans="1:31" x14ac:dyDescent="0.25">
      <c r="A15" s="86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87"/>
      <c r="O15" s="7"/>
    </row>
    <row r="16" spans="1:31" x14ac:dyDescent="0.25">
      <c r="A16" s="86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87"/>
      <c r="O16" s="7"/>
    </row>
    <row r="17" spans="1:15" x14ac:dyDescent="0.25">
      <c r="A17" s="86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87"/>
      <c r="O17" s="7"/>
    </row>
    <row r="18" spans="1:15" x14ac:dyDescent="0.25">
      <c r="A18" s="86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87"/>
      <c r="O18" s="7"/>
    </row>
    <row r="19" spans="1:15" x14ac:dyDescent="0.25">
      <c r="A19" s="86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87"/>
      <c r="O19" s="7"/>
    </row>
    <row r="20" spans="1:15" x14ac:dyDescent="0.25">
      <c r="A20" s="86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87"/>
      <c r="O20" s="7"/>
    </row>
    <row r="21" spans="1:15" x14ac:dyDescent="0.25">
      <c r="A21" s="86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87"/>
      <c r="O21" s="7"/>
    </row>
    <row r="22" spans="1:15" ht="15.75" thickBot="1" x14ac:dyDescent="0.3">
      <c r="A22" s="88"/>
      <c r="B22" s="89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1"/>
      <c r="O22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 macro="[2]!AddExistingDim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topLeftCell="A11" workbookViewId="0">
      <selection activeCell="A17" sqref="A17:XFD32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109</v>
      </c>
      <c r="B1" t="s">
        <v>110</v>
      </c>
    </row>
    <row r="2" spans="1:2" x14ac:dyDescent="0.25">
      <c r="A2" t="s">
        <v>111</v>
      </c>
      <c r="B2" t="s">
        <v>112</v>
      </c>
    </row>
    <row r="3" spans="1:2" x14ac:dyDescent="0.25">
      <c r="A3" t="s">
        <v>19</v>
      </c>
      <c r="B3" t="s">
        <v>113</v>
      </c>
    </row>
    <row r="4" spans="1:2" x14ac:dyDescent="0.25">
      <c r="A4" t="s">
        <v>114</v>
      </c>
      <c r="B4" t="s">
        <v>115</v>
      </c>
    </row>
    <row r="5" spans="1:2" x14ac:dyDescent="0.25">
      <c r="A5" t="s">
        <v>116</v>
      </c>
      <c r="B5" t="s">
        <v>117</v>
      </c>
    </row>
    <row r="6" spans="1:2" x14ac:dyDescent="0.25">
      <c r="A6" t="s">
        <v>118</v>
      </c>
      <c r="B6" t="s">
        <v>119</v>
      </c>
    </row>
    <row r="7" spans="1:2" x14ac:dyDescent="0.25">
      <c r="A7" t="s">
        <v>120</v>
      </c>
      <c r="B7" t="s">
        <v>121</v>
      </c>
    </row>
    <row r="8" spans="1:2" x14ac:dyDescent="0.25">
      <c r="A8" t="s">
        <v>122</v>
      </c>
      <c r="B8" t="s">
        <v>123</v>
      </c>
    </row>
    <row r="9" spans="1:2" x14ac:dyDescent="0.25">
      <c r="A9" t="s">
        <v>124</v>
      </c>
      <c r="B9" t="s">
        <v>125</v>
      </c>
    </row>
    <row r="10" spans="1:2" x14ac:dyDescent="0.25">
      <c r="A10" t="s">
        <v>126</v>
      </c>
      <c r="B10" t="s">
        <v>127</v>
      </c>
    </row>
    <row r="11" spans="1:2" x14ac:dyDescent="0.25">
      <c r="A11" t="s">
        <v>128</v>
      </c>
      <c r="B11" t="s">
        <v>129</v>
      </c>
    </row>
    <row r="12" spans="1:2" x14ac:dyDescent="0.25">
      <c r="A12" t="s">
        <v>130</v>
      </c>
      <c r="B12" t="s">
        <v>131</v>
      </c>
    </row>
    <row r="13" spans="1:2" x14ac:dyDescent="0.25">
      <c r="A13" t="s">
        <v>132</v>
      </c>
      <c r="B13" t="s">
        <v>133</v>
      </c>
    </row>
    <row r="14" spans="1:2" x14ac:dyDescent="0.25">
      <c r="A14" t="s">
        <v>134</v>
      </c>
      <c r="B14" t="s">
        <v>135</v>
      </c>
    </row>
    <row r="15" spans="1:2" x14ac:dyDescent="0.25">
      <c r="A15" t="s">
        <v>99</v>
      </c>
      <c r="B15" t="s">
        <v>136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bx_Process1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2014-08-15T08:32:25Z</dcterms:modified>
</cp:coreProperties>
</file>